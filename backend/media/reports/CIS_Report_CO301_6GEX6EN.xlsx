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CO301</t>
        </is>
      </c>
      <c r="C13" s="8" t="n">
        <v>1.95</v>
      </c>
      <c r="D13" s="9" t="n">
        <v>3</v>
      </c>
      <c r="E13" s="8" t="n">
        <v>64.89</v>
      </c>
      <c r="F13" s="8" t="n">
        <v>1.05</v>
      </c>
      <c r="G13" s="10" t="inlineStr">
        <is>
          <t>Course Target is not achieved</t>
        </is>
      </c>
      <c r="H13" s="11" t="inlineStr">
        <is>
          <t>No ATR Submitted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CO301.1</t>
        </is>
      </c>
      <c r="C13" s="14" t="n">
        <v>2.75</v>
      </c>
      <c r="D13" s="14" t="inlineStr">
        <is>
          <t>-</t>
        </is>
      </c>
      <c r="E13" s="14" t="inlineStr">
        <is>
          <t>-</t>
        </is>
      </c>
      <c r="F13" s="14" t="n">
        <v>1.25</v>
      </c>
      <c r="G13" s="14" t="inlineStr">
        <is>
          <t>-</t>
        </is>
      </c>
      <c r="H13" s="14" t="n">
        <v>2</v>
      </c>
      <c r="J13" s="14" t="n">
        <v>1.25</v>
      </c>
      <c r="K13" s="14" t="inlineStr">
        <is>
          <t>-</t>
        </is>
      </c>
      <c r="L13" s="14" t="n">
        <v>1.25</v>
      </c>
      <c r="N13" s="14" t="n">
        <v>1.55</v>
      </c>
      <c r="O13" s="14" t="n">
        <v>3</v>
      </c>
      <c r="P13" s="14" t="n">
        <v>1.84</v>
      </c>
      <c r="Q13" s="15" t="n">
        <v>3</v>
      </c>
      <c r="R13" s="14" t="n">
        <v>1.16</v>
      </c>
      <c r="S13" s="15" t="n">
        <v>3</v>
      </c>
    </row>
    <row r="14">
      <c r="B14" s="8" t="inlineStr">
        <is>
          <t>CO301.2</t>
        </is>
      </c>
      <c r="C14" s="14" t="n">
        <v>2.5</v>
      </c>
      <c r="D14" s="14" t="inlineStr">
        <is>
          <t>-</t>
        </is>
      </c>
      <c r="E14" s="14" t="n">
        <v>2.5</v>
      </c>
      <c r="F14" s="14" t="n">
        <v>2.5</v>
      </c>
      <c r="G14" s="14" t="inlineStr">
        <is>
          <t>-</t>
        </is>
      </c>
      <c r="H14" s="14" t="n">
        <v>2.5</v>
      </c>
      <c r="J14" s="14" t="n">
        <v>1.25</v>
      </c>
      <c r="K14" s="14" t="inlineStr">
        <is>
          <t>-</t>
        </is>
      </c>
      <c r="L14" s="14" t="n">
        <v>1.25</v>
      </c>
      <c r="N14" s="14" t="n">
        <v>1.75</v>
      </c>
      <c r="O14" s="14" t="n">
        <v>3</v>
      </c>
      <c r="P14" s="14" t="n">
        <v>2</v>
      </c>
      <c r="Q14" s="15" t="n">
        <v>3</v>
      </c>
      <c r="R14" s="14" t="n">
        <v>1</v>
      </c>
      <c r="S14" s="15" t="n">
        <v>3</v>
      </c>
    </row>
    <row r="15">
      <c r="B15" s="8" t="inlineStr">
        <is>
          <t>CO301.3</t>
        </is>
      </c>
      <c r="C15" s="14" t="inlineStr">
        <is>
          <t>-</t>
        </is>
      </c>
      <c r="D15" s="14" t="n">
        <v>2.5</v>
      </c>
      <c r="E15" s="14" t="inlineStr">
        <is>
          <t>-</t>
        </is>
      </c>
      <c r="F15" s="14" t="inlineStr">
        <is>
          <t>-</t>
        </is>
      </c>
      <c r="G15" s="14" t="inlineStr">
        <is>
          <t>-</t>
        </is>
      </c>
      <c r="H15" s="14" t="n">
        <v>2.5</v>
      </c>
      <c r="J15" s="14" t="n">
        <v>1.25</v>
      </c>
      <c r="K15" s="14" t="inlineStr">
        <is>
          <t>-</t>
        </is>
      </c>
      <c r="L15" s="14" t="n">
        <v>1.25</v>
      </c>
      <c r="N15" s="14" t="n">
        <v>1.75</v>
      </c>
      <c r="O15" s="14" t="n">
        <v>3</v>
      </c>
      <c r="P15" s="14" t="n">
        <v>2</v>
      </c>
      <c r="Q15" s="15" t="n">
        <v>3</v>
      </c>
      <c r="R15" s="14" t="n">
        <v>1</v>
      </c>
      <c r="S15" s="15" t="n">
        <v>3</v>
      </c>
    </row>
    <row r="16">
      <c r="B16" s="16" t="inlineStr">
        <is>
          <t>Attainment of CO</t>
        </is>
      </c>
      <c r="P16" s="17">
        <f>AVERAGE(P13:P15)</f>
        <v/>
      </c>
      <c r="Q16" s="17" t="inlineStr"/>
      <c r="R16" s="17">
        <f>AVERAGE(R13:R15)</f>
        <v/>
      </c>
      <c r="S16" s="17" t="inlineStr"/>
    </row>
    <row r="18">
      <c r="B18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C3:M3"/>
    <mergeCell ref="O11"/>
    <mergeCell ref="B16:O16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A8:B8"/>
    <mergeCell ref="C6:K6"/>
    <mergeCell ref="A4:B4"/>
    <mergeCell ref="C5:K5"/>
    <mergeCell ref="A9:B9"/>
    <mergeCell ref="C4:K4"/>
    <mergeCell ref="B18:S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1</t>
        </is>
      </c>
      <c r="F13" s="25" t="inlineStr">
        <is>
          <t>1</t>
        </is>
      </c>
      <c r="G13" s="25" t="inlineStr">
        <is>
          <t>1</t>
        </is>
      </c>
      <c r="H13" s="25" t="inlineStr">
        <is>
          <t>1</t>
        </is>
      </c>
      <c r="I13" s="25" t="inlineStr">
        <is>
          <t>1</t>
        </is>
      </c>
      <c r="J13" s="25" t="inlineStr">
        <is>
          <t>2</t>
        </is>
      </c>
      <c r="K13" s="25" t="inlineStr">
        <is>
          <t>2</t>
        </is>
      </c>
      <c r="L13" s="25" t="inlineStr">
        <is>
          <t>2</t>
        </is>
      </c>
      <c r="M13" s="25" t="inlineStr">
        <is>
          <t>1</t>
        </is>
      </c>
      <c r="N13" s="25" t="inlineStr">
        <is>
          <t>1</t>
        </is>
      </c>
      <c r="O13" s="25" t="inlineStr">
        <is>
          <t>1</t>
        </is>
      </c>
      <c r="P13" s="25" t="inlineStr">
        <is>
          <t>1</t>
        </is>
      </c>
      <c r="Q13" s="25" t="inlineStr">
        <is>
          <t>1</t>
        </is>
      </c>
      <c r="R13" s="25" t="inlineStr">
        <is>
          <t>1</t>
        </is>
      </c>
      <c r="S13" s="24" t="n"/>
    </row>
    <row r="14">
      <c r="A14" s="14" t="inlineStr">
        <is>
          <t>23611780235</t>
        </is>
      </c>
      <c r="B14" s="14" t="inlineStr">
        <is>
          <t>59</t>
        </is>
      </c>
      <c r="C14" s="26" t="inlineStr">
        <is>
          <t>Khushi Nigal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23611780236</t>
        </is>
      </c>
      <c r="B15" s="14" t="inlineStr">
        <is>
          <t>60</t>
        </is>
      </c>
      <c r="C15" s="26" t="inlineStr">
        <is>
          <t>Arpita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27" t="inlineStr">
        <is>
          <t>Average</t>
        </is>
      </c>
      <c r="E16" s="8">
        <f>IFERROR(ROUND(AVERAGE(E14:E15), 2), 0)</f>
        <v/>
      </c>
      <c r="F16" s="8">
        <f>IFERROR(ROUND(AVERAGE(F14:F15), 2), 0)</f>
        <v/>
      </c>
      <c r="G16" s="8">
        <f>IFERROR(ROUND(AVERAGE(G14:G15), 2), 0)</f>
        <v/>
      </c>
      <c r="H16" s="8">
        <f>IFERROR(ROUND(AVERAGE(H14:H15), 2), 0)</f>
        <v/>
      </c>
      <c r="I16" s="8">
        <f>IFERROR(ROUND(AVERAGE(I14:I15), 2), 0)</f>
        <v/>
      </c>
      <c r="J16" s="8">
        <f>IFERROR(ROUND(AVERAGE(J14:J15), 2), 0)</f>
        <v/>
      </c>
      <c r="K16" s="8">
        <f>IFERROR(ROUND(AVERAGE(K14:K15), 2), 0)</f>
        <v/>
      </c>
      <c r="L16" s="8">
        <f>IFERROR(ROUND(AVERAGE(L14:L15), 2), 0)</f>
        <v/>
      </c>
      <c r="M16" s="8">
        <f>IFERROR(ROUND(AVERAGE(M14:M15), 2), 0)</f>
        <v/>
      </c>
      <c r="N16" s="8">
        <f>IFERROR(ROUND(AVERAGE(N14:N15), 2), 0)</f>
        <v/>
      </c>
      <c r="O16" s="8">
        <f>IFERROR(ROUND(AVERAGE(O14:O15), 2), 0)</f>
        <v/>
      </c>
      <c r="P16" s="8">
        <f>IFERROR(ROUND(AVERAGE(P14:P15), 2), 0)</f>
        <v/>
      </c>
      <c r="Q16" s="8">
        <f>IFERROR(ROUND(AVERAGE(Q14:Q15), 2), 0)</f>
        <v/>
      </c>
      <c r="R16" s="8">
        <f>IFERROR(ROUND(AVERAGE(R14:R15), 2), 0)</f>
        <v/>
      </c>
      <c r="S16" s="28">
        <f>IFERROR(ROUND(AVERAGE(S14:S15), 2), 0)</f>
        <v/>
      </c>
    </row>
    <row r="17">
      <c r="A17" s="27" t="inlineStr">
        <is>
          <t>Total Appeared</t>
        </is>
      </c>
      <c r="E17" s="8">
        <f>COUNT(E14:E15)</f>
        <v/>
      </c>
      <c r="F17" s="8">
        <f>COUNT(F14:F15)</f>
        <v/>
      </c>
      <c r="G17" s="8">
        <f>COUNT(G14:G15)</f>
        <v/>
      </c>
      <c r="H17" s="8">
        <f>COUNT(H14:H15)</f>
        <v/>
      </c>
      <c r="I17" s="8">
        <f>COUNT(I14:I15)</f>
        <v/>
      </c>
      <c r="J17" s="8">
        <f>COUNT(J14:J15)</f>
        <v/>
      </c>
      <c r="K17" s="8">
        <f>COUNT(K14:K15)</f>
        <v/>
      </c>
      <c r="L17" s="8">
        <f>COUNT(L14:L15)</f>
        <v/>
      </c>
      <c r="M17" s="8">
        <f>COUNT(M14:M15)</f>
        <v/>
      </c>
      <c r="N17" s="8">
        <f>COUNT(N14:N15)</f>
        <v/>
      </c>
      <c r="O17" s="8">
        <f>COUNT(O14:O15)</f>
        <v/>
      </c>
      <c r="P17" s="8">
        <f>COUNT(P14:P15)</f>
        <v/>
      </c>
      <c r="Q17" s="8">
        <f>COUNT(Q14:Q15)</f>
        <v/>
      </c>
      <c r="R17" s="8">
        <f>COUNT(R14:R15)</f>
        <v/>
      </c>
      <c r="S17" s="28">
        <f>COUNT(S14:S15)</f>
        <v/>
      </c>
    </row>
    <row r="18">
      <c r="A18" s="27" t="inlineStr">
        <is>
          <t>% above Avg</t>
        </is>
      </c>
      <c r="E18" s="8">
        <f>IF(COUNT(E14:E15)&gt;0, ROUND(COUNTIF(E14:E15, "&gt;="&amp;E16) / COUNT(E14:E15) * 100, 2) &amp; "%", "0%")</f>
        <v/>
      </c>
      <c r="F18" s="8">
        <f>IF(COUNT(F14:F15)&gt;0, ROUND(COUNTIF(F14:F15, "&gt;="&amp;F16) / COUNT(F14:F15) * 100, 2) &amp; "%", "0%")</f>
        <v/>
      </c>
      <c r="G18" s="8">
        <f>IF(COUNT(G14:G15)&gt;0, ROUND(COUNTIF(G14:G15, "&gt;="&amp;G16) / COUNT(G14:G15) * 100, 2) &amp; "%", "0%")</f>
        <v/>
      </c>
      <c r="H18" s="8">
        <f>IF(COUNT(H14:H15)&gt;0, ROUND(COUNTIF(H14:H15, "&gt;="&amp;H16) / COUNT(H14:H15) * 100, 2) &amp; "%", "0%")</f>
        <v/>
      </c>
      <c r="I18" s="8">
        <f>IF(COUNT(I14:I15)&gt;0, ROUND(COUNTIF(I14:I15, "&gt;="&amp;I16) / COUNT(I14:I15) * 100, 2) &amp; "%", "0%")</f>
        <v/>
      </c>
      <c r="J18" s="8">
        <f>IF(COUNT(J14:J15)&gt;0, ROUND(COUNTIF(J14:J15, "&gt;="&amp;J16) / COUNT(J14:J15) * 100, 2) &amp; "%", "0%")</f>
        <v/>
      </c>
      <c r="K18" s="8">
        <f>IF(COUNT(K14:K15)&gt;0, ROUND(COUNTIF(K14:K15, "&gt;="&amp;K16) / COUNT(K14:K15) * 100, 2) &amp; "%", "0%")</f>
        <v/>
      </c>
      <c r="L18" s="8">
        <f>IF(COUNT(L14:L15)&gt;0, ROUND(COUNTIF(L14:L15, "&gt;="&amp;L16) / COUNT(L14:L15) * 100, 2) &amp; "%", "0%")</f>
        <v/>
      </c>
      <c r="M18" s="8">
        <f>IF(COUNT(M14:M15)&gt;0, ROUND(COUNTIF(M14:M15, "&gt;="&amp;M16) / COUNT(M14:M15) * 100, 2) &amp; "%", "0%")</f>
        <v/>
      </c>
      <c r="N18" s="8">
        <f>IF(COUNT(N14:N15)&gt;0, ROUND(COUNTIF(N14:N15, "&gt;="&amp;N16) / COUNT(N14:N15) * 100, 2) &amp; "%", "0%")</f>
        <v/>
      </c>
      <c r="O18" s="8">
        <f>IF(COUNT(O14:O15)&gt;0, ROUND(COUNTIF(O14:O15, "&gt;="&amp;O16) / COUNT(O14:O15) * 100, 2) &amp; "%", "0%")</f>
        <v/>
      </c>
      <c r="P18" s="8">
        <f>IF(COUNT(P14:P15)&gt;0, ROUND(COUNTIF(P14:P15, "&gt;="&amp;P16) / COUNT(P14:P15) * 100, 2) &amp; "%", "0%")</f>
        <v/>
      </c>
      <c r="Q18" s="8">
        <f>IF(COUNT(Q14:Q15)&gt;0, ROUND(COUNTIF(Q14:Q15, "&gt;="&amp;Q16) / COUNT(Q14:Q15) * 100, 2) &amp; "%", "0%")</f>
        <v/>
      </c>
      <c r="R18" s="8">
        <f>IF(COUNT(R14:R15)&gt;0, ROUND(COUNTIF(R14:R15, "&gt;="&amp;R16) / COUNT(R14:R15) * 100, 2) &amp; "%", "0%")</f>
        <v/>
      </c>
      <c r="S18" s="28">
        <f>IF(COUNT(S14:S15)&gt;0, ROUND(COUNTIF(S14:S15, "&gt;="&amp;S16) / COUNT(S14:S15) * 100, 2) &amp; "%", "0%")</f>
        <v/>
      </c>
    </row>
    <row r="19">
      <c r="A19" s="27" t="inlineStr">
        <is>
          <t>CO Attainment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28" t="n">
        <v>0</v>
      </c>
    </row>
    <row r="21">
      <c r="B21" s="29" t="inlineStr">
        <is>
          <t>CO attainment through FA-TH</t>
        </is>
      </c>
    </row>
    <row r="22">
      <c r="B22" s="30" t="inlineStr">
        <is>
          <t>% CO Attained</t>
        </is>
      </c>
      <c r="C22" s="30" t="inlineStr">
        <is>
          <t>CO attainment</t>
        </is>
      </c>
    </row>
    <row r="23">
      <c r="B23" s="8" t="inlineStr">
        <is>
          <t>CO1</t>
        </is>
      </c>
      <c r="C23" s="9" t="n">
        <v>0</v>
      </c>
      <c r="D23" s="8" t="n">
        <v>0</v>
      </c>
    </row>
    <row r="24">
      <c r="B24" s="8" t="inlineStr">
        <is>
          <t>CO2</t>
        </is>
      </c>
      <c r="C24" s="9" t="n">
        <v>0</v>
      </c>
      <c r="D24" s="8" t="n">
        <v>0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22:D22"/>
    <mergeCell ref="C8:K8"/>
    <mergeCell ref="C7:K7"/>
    <mergeCell ref="A19:C19"/>
    <mergeCell ref="A5:B5"/>
    <mergeCell ref="A11:A13"/>
    <mergeCell ref="C2:M2"/>
    <mergeCell ref="B11:B13"/>
    <mergeCell ref="S11:S13"/>
    <mergeCell ref="A8:B8"/>
    <mergeCell ref="C6:K6"/>
    <mergeCell ref="A4:B4"/>
    <mergeCell ref="C5:K5"/>
    <mergeCell ref="B21:D21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Q1</t>
        </is>
      </c>
      <c r="F11" s="20" t="inlineStr">
        <is>
          <t>Q2</t>
        </is>
      </c>
      <c r="G11" s="20" t="inlineStr">
        <is>
          <t>Q3</t>
        </is>
      </c>
      <c r="H11" s="20" t="inlineStr">
        <is>
          <t>Q4</t>
        </is>
      </c>
      <c r="I11" s="20" t="inlineStr">
        <is>
          <t>Q5</t>
        </is>
      </c>
      <c r="J11" s="20" t="inlineStr">
        <is>
          <t>Q6</t>
        </is>
      </c>
      <c r="K11" s="20" t="inlineStr">
        <is>
          <t>Q7</t>
        </is>
      </c>
      <c r="L11" s="20" t="inlineStr">
        <is>
          <t>Q8</t>
        </is>
      </c>
      <c r="M11" s="20" t="inlineStr">
        <is>
          <t>Q9</t>
        </is>
      </c>
      <c r="N11" s="20" t="inlineStr">
        <is>
          <t>Q10</t>
        </is>
      </c>
      <c r="O11" s="20" t="inlineStr">
        <is>
          <t>Q11</t>
        </is>
      </c>
      <c r="P11" s="20" t="inlineStr">
        <is>
          <t>Q12</t>
        </is>
      </c>
      <c r="Q11" s="20" t="inlineStr">
        <is>
          <t>Q13</t>
        </is>
      </c>
      <c r="R11" s="20" t="inlineStr">
        <is>
          <t>Q14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2</v>
      </c>
      <c r="M12" s="23" t="n">
        <v>2</v>
      </c>
      <c r="N12" s="23" t="n">
        <v>2</v>
      </c>
      <c r="O12" s="23" t="n">
        <v>2</v>
      </c>
      <c r="P12" s="23" t="n">
        <v>2</v>
      </c>
      <c r="Q12" s="23" t="n">
        <v>2</v>
      </c>
      <c r="R12" s="23" t="n">
        <v>2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3</t>
        </is>
      </c>
      <c r="F13" s="25" t="inlineStr">
        <is>
          <t>3</t>
        </is>
      </c>
      <c r="G13" s="25" t="inlineStr">
        <is>
          <t>3</t>
        </is>
      </c>
      <c r="H13" s="25" t="inlineStr">
        <is>
          <t>3</t>
        </is>
      </c>
      <c r="I13" s="25" t="inlineStr">
        <is>
          <t>3</t>
        </is>
      </c>
      <c r="J13" s="25" t="inlineStr">
        <is>
          <t>3</t>
        </is>
      </c>
      <c r="K13" s="25" t="inlineStr">
        <is>
          <t>3</t>
        </is>
      </c>
      <c r="L13" s="25" t="inlineStr">
        <is>
          <t>3</t>
        </is>
      </c>
      <c r="M13" s="25" t="inlineStr">
        <is>
          <t>3</t>
        </is>
      </c>
      <c r="N13" s="25" t="inlineStr">
        <is>
          <t>3</t>
        </is>
      </c>
      <c r="O13" s="25" t="inlineStr">
        <is>
          <t>3</t>
        </is>
      </c>
      <c r="P13" s="25" t="inlineStr">
        <is>
          <t>3</t>
        </is>
      </c>
      <c r="Q13" s="25" t="inlineStr">
        <is>
          <t>3</t>
        </is>
      </c>
      <c r="R13" s="25" t="inlineStr">
        <is>
          <t>3</t>
        </is>
      </c>
      <c r="S13" s="24" t="n"/>
    </row>
    <row r="14">
      <c r="A14" s="14" t="inlineStr">
        <is>
          <t>23611780235</t>
        </is>
      </c>
      <c r="B14" s="14" t="inlineStr">
        <is>
          <t>59</t>
        </is>
      </c>
      <c r="C14" s="26" t="inlineStr">
        <is>
          <t>Khushi Nigal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inlineStr">
        <is>
          <t>-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  <c r="R14" s="8" t="inlineStr">
        <is>
          <t>-</t>
        </is>
      </c>
      <c r="S14" s="8" t="inlineStr">
        <is>
          <t>-</t>
        </is>
      </c>
    </row>
    <row r="15">
      <c r="A15" s="14" t="inlineStr">
        <is>
          <t>23611780236</t>
        </is>
      </c>
      <c r="B15" s="14" t="inlineStr">
        <is>
          <t>60</t>
        </is>
      </c>
      <c r="C15" s="26" t="inlineStr">
        <is>
          <t>Arpita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inlineStr">
        <is>
          <t>-</t>
        </is>
      </c>
      <c r="L15" s="8" t="inlineStr">
        <is>
          <t>-</t>
        </is>
      </c>
      <c r="M15" s="8" t="inlineStr">
        <is>
          <t>-</t>
        </is>
      </c>
      <c r="N15" s="8" t="inlineStr">
        <is>
          <t>-</t>
        </is>
      </c>
      <c r="O15" s="8" t="inlineStr">
        <is>
          <t>-</t>
        </is>
      </c>
      <c r="P15" s="8" t="inlineStr">
        <is>
          <t>-</t>
        </is>
      </c>
      <c r="Q15" s="8" t="inlineStr">
        <is>
          <t>-</t>
        </is>
      </c>
      <c r="R15" s="8" t="inlineStr">
        <is>
          <t>-</t>
        </is>
      </c>
      <c r="S15" s="8" t="inlineStr">
        <is>
          <t>-</t>
        </is>
      </c>
    </row>
    <row r="16">
      <c r="A16" s="27" t="inlineStr">
        <is>
          <t>Average</t>
        </is>
      </c>
      <c r="E16" s="8">
        <f>IFERROR(ROUND(AVERAGE(E14:E15), 2), 0)</f>
        <v/>
      </c>
      <c r="F16" s="8">
        <f>IFERROR(ROUND(AVERAGE(F14:F15), 2), 0)</f>
        <v/>
      </c>
      <c r="G16" s="8">
        <f>IFERROR(ROUND(AVERAGE(G14:G15), 2), 0)</f>
        <v/>
      </c>
      <c r="H16" s="8">
        <f>IFERROR(ROUND(AVERAGE(H14:H15), 2), 0)</f>
        <v/>
      </c>
      <c r="I16" s="8">
        <f>IFERROR(ROUND(AVERAGE(I14:I15), 2), 0)</f>
        <v/>
      </c>
      <c r="J16" s="8">
        <f>IFERROR(ROUND(AVERAGE(J14:J15), 2), 0)</f>
        <v/>
      </c>
      <c r="K16" s="8">
        <f>IFERROR(ROUND(AVERAGE(K14:K15), 2), 0)</f>
        <v/>
      </c>
      <c r="L16" s="8">
        <f>IFERROR(ROUND(AVERAGE(L14:L15), 2), 0)</f>
        <v/>
      </c>
      <c r="M16" s="8">
        <f>IFERROR(ROUND(AVERAGE(M14:M15), 2), 0)</f>
        <v/>
      </c>
      <c r="N16" s="8">
        <f>IFERROR(ROUND(AVERAGE(N14:N15), 2), 0)</f>
        <v/>
      </c>
      <c r="O16" s="8">
        <f>IFERROR(ROUND(AVERAGE(O14:O15), 2), 0)</f>
        <v/>
      </c>
      <c r="P16" s="8">
        <f>IFERROR(ROUND(AVERAGE(P14:P15), 2), 0)</f>
        <v/>
      </c>
      <c r="Q16" s="8">
        <f>IFERROR(ROUND(AVERAGE(Q14:Q15), 2), 0)</f>
        <v/>
      </c>
      <c r="R16" s="8">
        <f>IFERROR(ROUND(AVERAGE(R14:R15), 2), 0)</f>
        <v/>
      </c>
      <c r="S16" s="28">
        <f>IFERROR(ROUND(AVERAGE(S14:S15), 2), 0)</f>
        <v/>
      </c>
    </row>
    <row r="17">
      <c r="A17" s="27" t="inlineStr">
        <is>
          <t>Total Appeared</t>
        </is>
      </c>
      <c r="E17" s="8">
        <f>COUNT(E14:E15)</f>
        <v/>
      </c>
      <c r="F17" s="8">
        <f>COUNT(F14:F15)</f>
        <v/>
      </c>
      <c r="G17" s="8">
        <f>COUNT(G14:G15)</f>
        <v/>
      </c>
      <c r="H17" s="8">
        <f>COUNT(H14:H15)</f>
        <v/>
      </c>
      <c r="I17" s="8">
        <f>COUNT(I14:I15)</f>
        <v/>
      </c>
      <c r="J17" s="8">
        <f>COUNT(J14:J15)</f>
        <v/>
      </c>
      <c r="K17" s="8">
        <f>COUNT(K14:K15)</f>
        <v/>
      </c>
      <c r="L17" s="8">
        <f>COUNT(L14:L15)</f>
        <v/>
      </c>
      <c r="M17" s="8">
        <f>COUNT(M14:M15)</f>
        <v/>
      </c>
      <c r="N17" s="8">
        <f>COUNT(N14:N15)</f>
        <v/>
      </c>
      <c r="O17" s="8">
        <f>COUNT(O14:O15)</f>
        <v/>
      </c>
      <c r="P17" s="8">
        <f>COUNT(P14:P15)</f>
        <v/>
      </c>
      <c r="Q17" s="8">
        <f>COUNT(Q14:Q15)</f>
        <v/>
      </c>
      <c r="R17" s="8">
        <f>COUNT(R14:R15)</f>
        <v/>
      </c>
      <c r="S17" s="28">
        <f>COUNT(S14:S15)</f>
        <v/>
      </c>
    </row>
    <row r="18">
      <c r="A18" s="27" t="inlineStr">
        <is>
          <t>% above Avg</t>
        </is>
      </c>
      <c r="E18" s="8">
        <f>IF(COUNT(E14:E15)&gt;0, ROUND(COUNTIF(E14:E15, "&gt;="&amp;E16) / COUNT(E14:E15) * 100, 2) &amp; "%", "0%")</f>
        <v/>
      </c>
      <c r="F18" s="8">
        <f>IF(COUNT(F14:F15)&gt;0, ROUND(COUNTIF(F14:F15, "&gt;="&amp;F16) / COUNT(F14:F15) * 100, 2) &amp; "%", "0%")</f>
        <v/>
      </c>
      <c r="G18" s="8">
        <f>IF(COUNT(G14:G15)&gt;0, ROUND(COUNTIF(G14:G15, "&gt;="&amp;G16) / COUNT(G14:G15) * 100, 2) &amp; "%", "0%")</f>
        <v/>
      </c>
      <c r="H18" s="8">
        <f>IF(COUNT(H14:H15)&gt;0, ROUND(COUNTIF(H14:H15, "&gt;="&amp;H16) / COUNT(H14:H15) * 100, 2) &amp; "%", "0%")</f>
        <v/>
      </c>
      <c r="I18" s="8">
        <f>IF(COUNT(I14:I15)&gt;0, ROUND(COUNTIF(I14:I15, "&gt;="&amp;I16) / COUNT(I14:I15) * 100, 2) &amp; "%", "0%")</f>
        <v/>
      </c>
      <c r="J18" s="8">
        <f>IF(COUNT(J14:J15)&gt;0, ROUND(COUNTIF(J14:J15, "&gt;="&amp;J16) / COUNT(J14:J15) * 100, 2) &amp; "%", "0%")</f>
        <v/>
      </c>
      <c r="K18" s="8">
        <f>IF(COUNT(K14:K15)&gt;0, ROUND(COUNTIF(K14:K15, "&gt;="&amp;K16) / COUNT(K14:K15) * 100, 2) &amp; "%", "0%")</f>
        <v/>
      </c>
      <c r="L18" s="8">
        <f>IF(COUNT(L14:L15)&gt;0, ROUND(COUNTIF(L14:L15, "&gt;="&amp;L16) / COUNT(L14:L15) * 100, 2) &amp; "%", "0%")</f>
        <v/>
      </c>
      <c r="M18" s="8">
        <f>IF(COUNT(M14:M15)&gt;0, ROUND(COUNTIF(M14:M15, "&gt;="&amp;M16) / COUNT(M14:M15) * 100, 2) &amp; "%", "0%")</f>
        <v/>
      </c>
      <c r="N18" s="8">
        <f>IF(COUNT(N14:N15)&gt;0, ROUND(COUNTIF(N14:N15, "&gt;="&amp;N16) / COUNT(N14:N15) * 100, 2) &amp; "%", "0%")</f>
        <v/>
      </c>
      <c r="O18" s="8">
        <f>IF(COUNT(O14:O15)&gt;0, ROUND(COUNTIF(O14:O15, "&gt;="&amp;O16) / COUNT(O14:O15) * 100, 2) &amp; "%", "0%")</f>
        <v/>
      </c>
      <c r="P18" s="8">
        <f>IF(COUNT(P14:P15)&gt;0, ROUND(COUNTIF(P14:P15, "&gt;="&amp;P16) / COUNT(P14:P15) * 100, 2) &amp; "%", "0%")</f>
        <v/>
      </c>
      <c r="Q18" s="8">
        <f>IF(COUNT(Q14:Q15)&gt;0, ROUND(COUNTIF(Q14:Q15, "&gt;="&amp;Q16) / COUNT(Q14:Q15) * 100, 2) &amp; "%", "0%")</f>
        <v/>
      </c>
      <c r="R18" s="8">
        <f>IF(COUNT(R14:R15)&gt;0, ROUND(COUNTIF(R14:R15, "&gt;="&amp;R16) / COUNT(R14:R15) * 100, 2) &amp; "%", "0%")</f>
        <v/>
      </c>
      <c r="S18" s="28">
        <f>IF(COUNT(S14:S15)&gt;0, ROUND(COUNTIF(S14:S15, "&gt;="&amp;S16) / COUNT(S14:S15) * 100, 2) &amp; "%", "0%")</f>
        <v/>
      </c>
    </row>
    <row r="19">
      <c r="A19" s="27" t="inlineStr">
        <is>
          <t>CO Attainment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28" t="n">
        <v>0</v>
      </c>
    </row>
    <row r="21">
      <c r="B21" s="29" t="inlineStr">
        <is>
          <t>CO attainment through FA-TH</t>
        </is>
      </c>
    </row>
    <row r="22">
      <c r="B22" s="30" t="inlineStr">
        <is>
          <t>% CO Attained</t>
        </is>
      </c>
      <c r="C22" s="30" t="inlineStr">
        <is>
          <t>CO attainment</t>
        </is>
      </c>
    </row>
    <row r="23">
      <c r="B23" s="8" t="inlineStr">
        <is>
          <t>CO3</t>
        </is>
      </c>
      <c r="C23" s="9" t="n">
        <v>0</v>
      </c>
      <c r="D23" s="8" t="n">
        <v>0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22:D22"/>
    <mergeCell ref="C8:K8"/>
    <mergeCell ref="C7:K7"/>
    <mergeCell ref="A19:C19"/>
    <mergeCell ref="A5:B5"/>
    <mergeCell ref="A11:A13"/>
    <mergeCell ref="C2:M2"/>
    <mergeCell ref="B11:B13"/>
    <mergeCell ref="S11:S13"/>
    <mergeCell ref="A8:B8"/>
    <mergeCell ref="C6:K6"/>
    <mergeCell ref="A4:B4"/>
    <mergeCell ref="C5:K5"/>
    <mergeCell ref="B21:D21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P1</t>
        </is>
      </c>
      <c r="F11" s="25" t="inlineStr">
        <is>
          <t>P2</t>
        </is>
      </c>
      <c r="G11" s="25" t="inlineStr">
        <is>
          <t>P3</t>
        </is>
      </c>
      <c r="H11" s="25" t="inlineStr">
        <is>
          <t>P4</t>
        </is>
      </c>
      <c r="I11" s="25" t="inlineStr">
        <is>
          <t>P5</t>
        </is>
      </c>
      <c r="J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25</v>
      </c>
      <c r="F12" s="23" t="n">
        <v>25</v>
      </c>
      <c r="G12" s="23" t="n">
        <v>25</v>
      </c>
      <c r="H12" s="23" t="n">
        <v>25</v>
      </c>
      <c r="I12" s="23" t="n">
        <v>25</v>
      </c>
      <c r="J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1</t>
        </is>
      </c>
      <c r="F13" s="32" t="inlineStr">
        <is>
          <t>1</t>
        </is>
      </c>
      <c r="G13" s="32" t="inlineStr">
        <is>
          <t>1</t>
        </is>
      </c>
      <c r="H13" s="32" t="inlineStr">
        <is>
          <t>2</t>
        </is>
      </c>
      <c r="I13" s="32" t="inlineStr">
        <is>
          <t>2</t>
        </is>
      </c>
      <c r="J13" s="24" t="n"/>
    </row>
    <row r="14">
      <c r="A14" s="14" t="inlineStr">
        <is>
          <t>23611780235</t>
        </is>
      </c>
      <c r="B14" s="14" t="inlineStr">
        <is>
          <t>59</t>
        </is>
      </c>
      <c r="C14" s="26" t="inlineStr">
        <is>
          <t>Khushi Nigal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</row>
    <row r="15">
      <c r="A15" s="14" t="inlineStr">
        <is>
          <t>23611780236</t>
        </is>
      </c>
      <c r="B15" s="14" t="inlineStr">
        <is>
          <t>60</t>
        </is>
      </c>
      <c r="C15" s="26" t="inlineStr">
        <is>
          <t>Arpita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</row>
    <row r="16">
      <c r="A16" s="27" t="inlineStr">
        <is>
          <t>Average</t>
        </is>
      </c>
      <c r="E16" s="8">
        <f>IFERROR(ROUND(AVERAGE(E14:E15), 2), 0)</f>
        <v/>
      </c>
      <c r="F16" s="8">
        <f>IFERROR(ROUND(AVERAGE(F14:F15), 2), 0)</f>
        <v/>
      </c>
      <c r="G16" s="8">
        <f>IFERROR(ROUND(AVERAGE(G14:G15), 2), 0)</f>
        <v/>
      </c>
      <c r="H16" s="8">
        <f>IFERROR(ROUND(AVERAGE(H14:H15), 2), 0)</f>
        <v/>
      </c>
      <c r="I16" s="8">
        <f>IFERROR(ROUND(AVERAGE(I14:I15), 2), 0)</f>
        <v/>
      </c>
      <c r="J16" s="28">
        <f>IFERROR(ROUND(AVERAGE(J14:J15), 2), 0)</f>
        <v/>
      </c>
    </row>
    <row r="17">
      <c r="A17" s="27" t="inlineStr">
        <is>
          <t>Total Appeared</t>
        </is>
      </c>
      <c r="E17" s="8">
        <f>COUNT(E14:E15)</f>
        <v/>
      </c>
      <c r="F17" s="8">
        <f>COUNT(F14:F15)</f>
        <v/>
      </c>
      <c r="G17" s="8">
        <f>COUNT(G14:G15)</f>
        <v/>
      </c>
      <c r="H17" s="8">
        <f>COUNT(H14:H15)</f>
        <v/>
      </c>
      <c r="I17" s="8">
        <f>COUNT(I14:I15)</f>
        <v/>
      </c>
      <c r="J17" s="28">
        <f>COUNT(J14:J15)</f>
        <v/>
      </c>
    </row>
    <row r="18">
      <c r="A18" s="27" t="inlineStr">
        <is>
          <t>% above Avg</t>
        </is>
      </c>
      <c r="E18" s="8">
        <f>IF(COUNT(E14:E15)&gt;0, ROUND(COUNTIF(E14:E15, "&gt;="&amp;E16) / COUNT(E14:E15) * 100, 2) &amp; "%", "0%")</f>
        <v/>
      </c>
      <c r="F18" s="8">
        <f>IF(COUNT(F14:F15)&gt;0, ROUND(COUNTIF(F14:F15, "&gt;="&amp;F16) / COUNT(F14:F15) * 100, 2) &amp; "%", "0%")</f>
        <v/>
      </c>
      <c r="G18" s="8">
        <f>IF(COUNT(G14:G15)&gt;0, ROUND(COUNTIF(G14:G15, "&gt;="&amp;G16) / COUNT(G14:G15) * 100, 2) &amp; "%", "0%")</f>
        <v/>
      </c>
      <c r="H18" s="8">
        <f>IF(COUNT(H14:H15)&gt;0, ROUND(COUNTIF(H14:H15, "&gt;="&amp;H16) / COUNT(H14:H15) * 100, 2) &amp; "%", "0%")</f>
        <v/>
      </c>
      <c r="I18" s="8">
        <f>IF(COUNT(I14:I15)&gt;0, ROUND(COUNTIF(I14:I15, "&gt;="&amp;I16) / COUNT(I14:I15) * 100, 2) &amp; "%", "0%")</f>
        <v/>
      </c>
      <c r="J18" s="28">
        <f>IF(COUNT(J14:J15)&gt;0, ROUND(COUNTIF(J14:J15, "&gt;="&amp;J16) / COUNT(J14:J15) * 100, 2) &amp; "%", "0%")</f>
        <v/>
      </c>
    </row>
    <row r="19">
      <c r="A19" s="27" t="inlineStr">
        <is>
          <t>CO Attainment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28" t="n">
        <v>0</v>
      </c>
    </row>
    <row r="21">
      <c r="B21" s="29" t="inlineStr">
        <is>
          <t>CO attainment through FA-PR</t>
        </is>
      </c>
    </row>
    <row r="22">
      <c r="B22" s="30" t="inlineStr">
        <is>
          <t>% CO Attained</t>
        </is>
      </c>
      <c r="C22" s="30" t="inlineStr">
        <is>
          <t>CO attainment</t>
        </is>
      </c>
    </row>
    <row r="23">
      <c r="B23" s="8" t="inlineStr">
        <is>
          <t>CO1</t>
        </is>
      </c>
      <c r="C23" s="9" t="n">
        <v>0</v>
      </c>
      <c r="D23" s="8" t="n">
        <v>0</v>
      </c>
    </row>
    <row r="24">
      <c r="B24" s="8" t="inlineStr">
        <is>
          <t>CO2</t>
        </is>
      </c>
      <c r="C24" s="9" t="n">
        <v>0</v>
      </c>
      <c r="D24" s="8" t="n">
        <v>0</v>
      </c>
    </row>
  </sheetData>
  <mergeCells count="26">
    <mergeCell ref="C3:M3"/>
    <mergeCell ref="C11:C13"/>
    <mergeCell ref="C9:K9"/>
    <mergeCell ref="A18:C18"/>
    <mergeCell ref="A1:B3"/>
    <mergeCell ref="A6:B6"/>
    <mergeCell ref="A7:B7"/>
    <mergeCell ref="C1:M1"/>
    <mergeCell ref="A17:C17"/>
    <mergeCell ref="C22:D22"/>
    <mergeCell ref="C8:K8"/>
    <mergeCell ref="C7:K7"/>
    <mergeCell ref="A19:C19"/>
    <mergeCell ref="A5:B5"/>
    <mergeCell ref="A11:A13"/>
    <mergeCell ref="C2:M2"/>
    <mergeCell ref="B11:B13"/>
    <mergeCell ref="A8:B8"/>
    <mergeCell ref="C6:K6"/>
    <mergeCell ref="A4:B4"/>
    <mergeCell ref="C5:K5"/>
    <mergeCell ref="J11:J13"/>
    <mergeCell ref="B21:D21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23611780235</t>
        </is>
      </c>
      <c r="B11" s="14" t="inlineStr">
        <is>
          <t>59</t>
        </is>
      </c>
      <c r="C11" s="26" t="inlineStr">
        <is>
          <t>Khushi Nigal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</row>
    <row r="12">
      <c r="A12" s="14" t="inlineStr">
        <is>
          <t>23611780236</t>
        </is>
      </c>
      <c r="B12" s="14" t="inlineStr">
        <is>
          <t>60</t>
        </is>
      </c>
      <c r="C12" s="26" t="inlineStr">
        <is>
          <t>Arpita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</row>
    <row r="13">
      <c r="A13" s="27" t="inlineStr">
        <is>
          <t>Average</t>
        </is>
      </c>
      <c r="D13" s="8">
        <f>IFERROR(ROUND(AVERAGE(D11:D12), 2), 0)</f>
        <v/>
      </c>
      <c r="E13" s="8">
        <f>IFERROR(ROUND(AVERAGE(E11:E12), 2), 0)</f>
        <v/>
      </c>
      <c r="F13" s="8">
        <f>IFERROR(ROUND(AVERAGE(F11:F12), 2), 0)</f>
        <v/>
      </c>
      <c r="G13" s="8">
        <f>IFERROR(ROUND(AVERAGE(G11:G12), 2), 0)</f>
        <v/>
      </c>
      <c r="H13" s="8">
        <f>IFERROR(ROUND(AVERAGE(H11:H12), 2), 0)</f>
        <v/>
      </c>
      <c r="I13" s="8">
        <f>IFERROR(ROUND(AVERAGE(I11:I12), 2), 0)</f>
        <v/>
      </c>
      <c r="J13" s="8">
        <f>IFERROR(ROUND(AVERAGE(J11:J12), 2), 0)</f>
        <v/>
      </c>
    </row>
    <row r="14">
      <c r="A14" s="27" t="inlineStr">
        <is>
          <t>Total Appeared</t>
        </is>
      </c>
      <c r="D14" s="8">
        <f>COUNT(D11:D12)</f>
        <v/>
      </c>
      <c r="E14" s="8">
        <f>COUNT(E11:E12)</f>
        <v/>
      </c>
      <c r="F14" s="8">
        <f>COUNT(F11:F12)</f>
        <v/>
      </c>
      <c r="G14" s="8">
        <f>COUNT(G11:G12)</f>
        <v/>
      </c>
      <c r="H14" s="8">
        <f>COUNT(H11:H12)</f>
        <v/>
      </c>
      <c r="I14" s="8">
        <f>COUNT(I11:I12)</f>
        <v/>
      </c>
      <c r="J14" s="8">
        <f>COUNT(J11:J12)</f>
        <v/>
      </c>
    </row>
    <row r="15">
      <c r="A15" s="27" t="inlineStr">
        <is>
          <t>% above Avg</t>
        </is>
      </c>
      <c r="D15" s="8">
        <f>IF(COUNT(D11:D12)&gt;0, ROUND(COUNTIF(D11:D12, "&gt;="&amp;D13) / COUNT(D11:D12) * 100, 2) &amp; "%", "0%")</f>
        <v/>
      </c>
      <c r="E15" s="8">
        <f>IF(COUNT(E11:E12)&gt;0, ROUND(COUNTIF(E11:E12, "&gt;="&amp;E13) / COUNT(E11:E12) * 100, 2) &amp; "%", "0%")</f>
        <v/>
      </c>
      <c r="F15" s="8">
        <f>IF(COUNT(F11:F12)&gt;0, ROUND(COUNTIF(F11:F12, "&gt;="&amp;F13) / COUNT(F11:F12) * 100, 2) &amp; "%", "0%")</f>
        <v/>
      </c>
      <c r="G15" s="8">
        <f>IF(COUNT(G11:G12)&gt;0, ROUND(COUNTIF(G11:G12, "&gt;="&amp;G13) / COUNT(G11:G12) * 100, 2) &amp; "%", "0%")</f>
        <v/>
      </c>
      <c r="H15" s="8">
        <f>IF(COUNT(H11:H12)&gt;0, ROUND(COUNTIF(H11:H12, "&gt;="&amp;H13) / COUNT(H11:H12) * 100, 2) &amp; "%", "0%")</f>
        <v/>
      </c>
      <c r="I15" s="8">
        <f>IF(COUNT(I11:I12)&gt;0, ROUND(COUNTIF(I11:I12, "&gt;="&amp;I13) / COUNT(I11:I12) * 100, 2) &amp; "%", "0%")</f>
        <v/>
      </c>
      <c r="J15" s="8">
        <f>IF(COUNT(J11:J12)&gt;0, ROUND(COUNTIF(J11:J12, "&gt;="&amp;J13) / COUNT(J11:J12) * 100, 2) &amp; "%", "0%")</f>
        <v/>
      </c>
    </row>
    <row r="16">
      <c r="A16" s="27" t="inlineStr">
        <is>
          <t>CO Attainment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8">
      <c r="B18" s="33" t="inlineStr">
        <is>
          <t>CO attainment through SLA</t>
        </is>
      </c>
    </row>
    <row r="19">
      <c r="B19" s="14" t="inlineStr">
        <is>
          <t>% CO Attained</t>
        </is>
      </c>
      <c r="C19" s="14" t="inlineStr">
        <is>
          <t>CO attainment</t>
        </is>
      </c>
    </row>
  </sheetData>
  <mergeCells count="22">
    <mergeCell ref="C3:M3"/>
    <mergeCell ref="C9:K9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C19:D19"/>
    <mergeCell ref="B18:D18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23611780235</t>
        </is>
      </c>
      <c r="B11" s="14" t="inlineStr">
        <is>
          <t>59</t>
        </is>
      </c>
      <c r="C11" s="26" t="inlineStr">
        <is>
          <t>Khushi Nigal</t>
        </is>
      </c>
      <c r="D11" s="8" t="inlineStr">
        <is>
          <t>-</t>
        </is>
      </c>
    </row>
    <row r="12">
      <c r="A12" s="14" t="inlineStr">
        <is>
          <t>23611780236</t>
        </is>
      </c>
      <c r="B12" s="14" t="inlineStr">
        <is>
          <t>60</t>
        </is>
      </c>
      <c r="C12" s="26" t="inlineStr">
        <is>
          <t>Arpita</t>
        </is>
      </c>
      <c r="D12" s="8" t="inlineStr">
        <is>
          <t>-</t>
        </is>
      </c>
    </row>
    <row r="13">
      <c r="A13" s="27" t="inlineStr">
        <is>
          <t>Average</t>
        </is>
      </c>
      <c r="D13" s="28" t="n">
        <v>0</v>
      </c>
    </row>
    <row r="14">
      <c r="A14" s="27" t="inlineStr">
        <is>
          <t>Total Students Appeared</t>
        </is>
      </c>
      <c r="D14" s="28" t="n">
        <v>0</v>
      </c>
    </row>
    <row r="15">
      <c r="A15" s="27" t="inlineStr">
        <is>
          <t>Absent</t>
        </is>
      </c>
      <c r="D15" s="28" t="n">
        <v>2</v>
      </c>
    </row>
    <row r="16">
      <c r="A16" s="27" t="inlineStr">
        <is>
          <t>% above Avg</t>
        </is>
      </c>
      <c r="D16" s="28" t="inlineStr">
        <is>
          <t>0%</t>
        </is>
      </c>
    </row>
    <row r="17">
      <c r="A17" s="27" t="inlineStr">
        <is>
          <t>CO Attainment</t>
        </is>
      </c>
      <c r="D17" s="28" t="n">
        <v>0</v>
      </c>
    </row>
  </sheetData>
  <mergeCells count="21">
    <mergeCell ref="C3:M3"/>
    <mergeCell ref="C9:K9"/>
    <mergeCell ref="A1:B3"/>
    <mergeCell ref="A6:B6"/>
    <mergeCell ref="A7:B7"/>
    <mergeCell ref="A14:C14"/>
    <mergeCell ref="C1:M1"/>
    <mergeCell ref="A17:C17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23611780235</t>
        </is>
      </c>
      <c r="B11" s="14" t="inlineStr">
        <is>
          <t>59</t>
        </is>
      </c>
      <c r="C11" s="26" t="inlineStr">
        <is>
          <t>Khushi Nigal</t>
        </is>
      </c>
      <c r="D11" s="8" t="inlineStr">
        <is>
          <t>-</t>
        </is>
      </c>
    </row>
    <row r="12">
      <c r="A12" s="14" t="inlineStr">
        <is>
          <t>23611780236</t>
        </is>
      </c>
      <c r="B12" s="14" t="inlineStr">
        <is>
          <t>60</t>
        </is>
      </c>
      <c r="C12" s="26" t="inlineStr">
        <is>
          <t>Arpita</t>
        </is>
      </c>
      <c r="D12" s="8" t="inlineStr">
        <is>
          <t>-</t>
        </is>
      </c>
    </row>
    <row r="13">
      <c r="A13" s="27" t="inlineStr">
        <is>
          <t>Average</t>
        </is>
      </c>
      <c r="D13" s="28" t="n">
        <v>0</v>
      </c>
    </row>
    <row r="14">
      <c r="A14" s="27" t="inlineStr">
        <is>
          <t>Total Students Appeared</t>
        </is>
      </c>
      <c r="D14" s="28" t="n">
        <v>0</v>
      </c>
    </row>
    <row r="15">
      <c r="A15" s="27" t="inlineStr">
        <is>
          <t>Absent</t>
        </is>
      </c>
      <c r="D15" s="28" t="n">
        <v>2</v>
      </c>
    </row>
    <row r="16">
      <c r="A16" s="27" t="inlineStr">
        <is>
          <t>% above Avg</t>
        </is>
      </c>
      <c r="D16" s="28" t="inlineStr">
        <is>
          <t>0%</t>
        </is>
      </c>
    </row>
    <row r="17">
      <c r="A17" s="27" t="inlineStr">
        <is>
          <t>CO Attainment</t>
        </is>
      </c>
      <c r="D17" s="28" t="n">
        <v>0</v>
      </c>
    </row>
  </sheetData>
  <mergeCells count="21">
    <mergeCell ref="C3:M3"/>
    <mergeCell ref="C9:K9"/>
    <mergeCell ref="A1:B3"/>
    <mergeCell ref="A6:B6"/>
    <mergeCell ref="A7:B7"/>
    <mergeCell ref="A14:C14"/>
    <mergeCell ref="C1:M1"/>
    <mergeCell ref="A17:C17"/>
    <mergeCell ref="C8:K8"/>
    <mergeCell ref="C7:K7"/>
    <mergeCell ref="A13:C13"/>
    <mergeCell ref="A5:B5"/>
    <mergeCell ref="C2:M2"/>
    <mergeCell ref="A15:C15"/>
    <mergeCell ref="A8:B8"/>
    <mergeCell ref="C6:K6"/>
    <mergeCell ref="A4:B4"/>
    <mergeCell ref="C5:K5"/>
    <mergeCell ref="A9:B9"/>
    <mergeCell ref="C4:K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CO1</t>
        </is>
      </c>
      <c r="E10" s="7" t="inlineStr">
        <is>
          <t>CO2</t>
        </is>
      </c>
      <c r="F10" s="7" t="inlineStr">
        <is>
          <t>Total</t>
        </is>
      </c>
    </row>
    <row r="11">
      <c r="A11" s="14" t="inlineStr">
        <is>
          <t>23611780235</t>
        </is>
      </c>
      <c r="B11" s="14" t="inlineStr">
        <is>
          <t>59</t>
        </is>
      </c>
      <c r="C11" s="26" t="inlineStr">
        <is>
          <t>Khushi Nigal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</row>
    <row r="12">
      <c r="A12" s="14" t="inlineStr">
        <is>
          <t>23611780236</t>
        </is>
      </c>
      <c r="B12" s="14" t="inlineStr">
        <is>
          <t>60</t>
        </is>
      </c>
      <c r="C12" s="26" t="inlineStr">
        <is>
          <t>Arpita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</row>
    <row r="13">
      <c r="A13" s="27" t="inlineStr">
        <is>
          <t>Average Rating</t>
        </is>
      </c>
      <c r="D13" s="8">
        <f>IFERROR(ROUND(AVERAGE(D11:D12), 2), 0)</f>
        <v/>
      </c>
      <c r="E13" s="8">
        <f>IFERROR(ROUND(AVERAGE(E11:E12), 2), 0)</f>
        <v/>
      </c>
    </row>
    <row r="14">
      <c r="A14" s="27" t="inlineStr">
        <is>
          <t>Total Responses</t>
        </is>
      </c>
      <c r="D14" s="8">
        <f>COUNT(D11:D12)</f>
        <v/>
      </c>
      <c r="E14" s="8">
        <f>COUNT(E11:E12)</f>
        <v/>
      </c>
    </row>
    <row r="16">
      <c r="B16" s="33" t="inlineStr">
        <is>
          <t>CO attainment through CES</t>
        </is>
      </c>
    </row>
    <row r="17">
      <c r="B17" s="14" t="inlineStr">
        <is>
          <t>Course Outcome</t>
        </is>
      </c>
      <c r="C17" s="14" t="inlineStr">
        <is>
          <t>Avg Rating</t>
        </is>
      </c>
    </row>
    <row r="18">
      <c r="B18" s="14" t="inlineStr">
        <is>
          <t>CO1</t>
        </is>
      </c>
      <c r="C18" s="15" t="n">
        <v>0</v>
      </c>
      <c r="D18" s="14" t="inlineStr"/>
    </row>
    <row r="19">
      <c r="B19" s="14" t="inlineStr">
        <is>
          <t>CO2</t>
        </is>
      </c>
      <c r="C19" s="15" t="n">
        <v>0</v>
      </c>
      <c r="D19" s="14" t="inlineStr"/>
    </row>
  </sheetData>
  <mergeCells count="20">
    <mergeCell ref="C3:M3"/>
    <mergeCell ref="C9:K9"/>
    <mergeCell ref="A1:B3"/>
    <mergeCell ref="A6:B6"/>
    <mergeCell ref="A7:B7"/>
    <mergeCell ref="A14:C14"/>
    <mergeCell ref="C1:M1"/>
    <mergeCell ref="C8:K8"/>
    <mergeCell ref="C7:K7"/>
    <mergeCell ref="A13:C13"/>
    <mergeCell ref="A5:B5"/>
    <mergeCell ref="C2:M2"/>
    <mergeCell ref="A8:B8"/>
    <mergeCell ref="C17:D17"/>
    <mergeCell ref="B16:D16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2025-26</t>
        </is>
      </c>
    </row>
    <row r="5">
      <c r="A5" s="5" t="inlineStr">
        <is>
          <t>Semester</t>
        </is>
      </c>
      <c r="C5" s="6" t="n">
        <v>6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V. A. Wagh</t>
        </is>
      </c>
    </row>
    <row r="8">
      <c r="A8" s="5" t="inlineStr">
        <is>
          <t>Name of Course &amp; Code</t>
        </is>
      </c>
      <c r="C8" s="6" t="inlineStr">
        <is>
          <t>SFT-316314 CO301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D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PSO 1</t>
        </is>
      </c>
      <c r="E13" s="34" t="inlineStr">
        <is>
          <t>PSO 2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CO301.1</t>
        </is>
      </c>
      <c r="B14" s="5" t="n">
        <v>1</v>
      </c>
      <c r="C14" s="5" t="n">
        <v>2</v>
      </c>
      <c r="D14" s="5" t="inlineStr"/>
      <c r="E14" s="5" t="n">
        <v>1</v>
      </c>
      <c r="M14" s="14" t="inlineStr">
        <is>
          <t>CO301.1</t>
        </is>
      </c>
      <c r="N14" s="14" t="inlineStr">
        <is>
          <t>Explain various software testing methods</t>
        </is>
      </c>
    </row>
    <row r="15">
      <c r="A15" s="34" t="inlineStr">
        <is>
          <t>CO301.2</t>
        </is>
      </c>
      <c r="B15" s="5" t="n">
        <v>3</v>
      </c>
      <c r="C15" s="5" t="n">
        <v>2</v>
      </c>
      <c r="D15" s="5" t="n">
        <v>3</v>
      </c>
      <c r="E15" s="5" t="n">
        <v>3</v>
      </c>
      <c r="M15" s="14" t="inlineStr">
        <is>
          <t>CO301.2</t>
        </is>
      </c>
      <c r="N15" s="14" t="inlineStr">
        <is>
          <t>Prepare test cases for different levels of testing</t>
        </is>
      </c>
    </row>
    <row r="16">
      <c r="A16" s="34" t="inlineStr">
        <is>
          <t>CO301.3</t>
        </is>
      </c>
      <c r="B16" s="5" t="n">
        <v>1</v>
      </c>
      <c r="C16" s="5" t="n">
        <v>1</v>
      </c>
      <c r="D16" s="5" t="n">
        <v>2</v>
      </c>
      <c r="E16" s="5" t="inlineStr"/>
      <c r="M16" s="14" t="inlineStr">
        <is>
          <t>CO301.3</t>
        </is>
      </c>
      <c r="N16" s="14" t="inlineStr">
        <is>
          <t>CO 3</t>
        </is>
      </c>
    </row>
    <row r="17">
      <c r="A17" s="5" t="inlineStr">
        <is>
          <t>Average</t>
        </is>
      </c>
      <c r="B17" s="5" t="n">
        <v>1.67</v>
      </c>
      <c r="C17" s="5" t="n">
        <v>1.67</v>
      </c>
      <c r="D17" s="5" t="n">
        <v>2.5</v>
      </c>
      <c r="E17" s="5" t="n">
        <v>2</v>
      </c>
    </row>
    <row r="21">
      <c r="A21" s="37" t="inlineStr">
        <is>
          <t>Direct CO Attainment</t>
        </is>
      </c>
    </row>
    <row r="22">
      <c r="A22" s="38" t="inlineStr">
        <is>
          <t>CO</t>
        </is>
      </c>
      <c r="B22" s="38" t="inlineStr">
        <is>
          <t>Attainment</t>
        </is>
      </c>
    </row>
    <row r="23">
      <c r="A23" s="14" t="inlineStr">
        <is>
          <t>CO301.1</t>
        </is>
      </c>
      <c r="B23" s="14" t="n">
        <v>1.84</v>
      </c>
    </row>
    <row r="24">
      <c r="A24" s="14" t="inlineStr">
        <is>
          <t>CO301.2</t>
        </is>
      </c>
      <c r="B24" s="14" t="n">
        <v>2</v>
      </c>
    </row>
    <row r="25">
      <c r="A25" s="14" t="inlineStr">
        <is>
          <t>CO301.3</t>
        </is>
      </c>
      <c r="B25" s="14" t="n">
        <v>2</v>
      </c>
    </row>
    <row r="26">
      <c r="A26" s="39" t="inlineStr">
        <is>
          <t>Average</t>
        </is>
      </c>
      <c r="B26" s="39" t="n">
        <v>1.95</v>
      </c>
    </row>
    <row r="28">
      <c r="B28" s="37" t="inlineStr">
        <is>
          <t>Direct POs &amp; PSOs Attainment</t>
        </is>
      </c>
    </row>
    <row r="29">
      <c r="B29" s="40" t="inlineStr">
        <is>
          <t>PO 1</t>
        </is>
      </c>
      <c r="C29" s="40" t="inlineStr">
        <is>
          <t>PO 2</t>
        </is>
      </c>
      <c r="D29" s="40" t="inlineStr">
        <is>
          <t>PSO 1</t>
        </is>
      </c>
      <c r="E29" s="40" t="inlineStr">
        <is>
          <t>PSO 2</t>
        </is>
      </c>
    </row>
    <row r="30">
      <c r="B30" s="40" t="n">
        <v>1.97</v>
      </c>
      <c r="C30" s="40" t="n">
        <v>1.94</v>
      </c>
      <c r="D30" s="40" t="n">
        <v>2</v>
      </c>
      <c r="E30" s="40" t="n">
        <v>1.96</v>
      </c>
    </row>
  </sheetData>
  <mergeCells count="21">
    <mergeCell ref="C3:M3"/>
    <mergeCell ref="C9:K9"/>
    <mergeCell ref="A1:B3"/>
    <mergeCell ref="A6:B6"/>
    <mergeCell ref="B12:C12"/>
    <mergeCell ref="A7:B7"/>
    <mergeCell ref="C1:M1"/>
    <mergeCell ref="C8:K8"/>
    <mergeCell ref="C7:K7"/>
    <mergeCell ref="A21:B21"/>
    <mergeCell ref="M12:N12"/>
    <mergeCell ref="A5:B5"/>
    <mergeCell ref="C2:M2"/>
    <mergeCell ref="A8:B8"/>
    <mergeCell ref="D12:E12"/>
    <mergeCell ref="C6:K6"/>
    <mergeCell ref="A4:B4"/>
    <mergeCell ref="C5:K5"/>
    <mergeCell ref="A9:B9"/>
    <mergeCell ref="C4:K4"/>
    <mergeCell ref="B28:E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2026-02-26T19:56:19Z</dcterms:created>
  <dcterms:modified xsi:type="dcterms:W3CDTF">2026-02-26T19:56:20Z</dcterms:modified>
</cp:coreProperties>
</file>