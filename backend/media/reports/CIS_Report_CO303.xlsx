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CO303</t>
        </is>
      </c>
      <c r="C13" s="8" t="inlineStr">
        <is>
          <t>-</t>
        </is>
      </c>
      <c r="D13" s="9" t="n">
        <v>1</v>
      </c>
      <c r="E13" s="8" t="inlineStr">
        <is>
          <t>-</t>
        </is>
      </c>
      <c r="F13" s="8" t="inlineStr">
        <is>
          <t>-</t>
        </is>
      </c>
      <c r="G13" s="10" t="inlineStr">
        <is>
          <t>-</t>
        </is>
      </c>
      <c r="H13" s="11" t="inlineStr">
        <is>
          <t>No ATR Submitted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14" t="inlineStr">
        <is>
          <t>-</t>
        </is>
      </c>
      <c r="D13" s="14" t="inlineStr">
        <is>
          <t>-</t>
        </is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s="14" t="inlineStr">
        <is>
          <t>-</t>
        </is>
      </c>
      <c r="J13" s="14" t="inlineStr">
        <is>
          <t>-</t>
        </is>
      </c>
      <c r="K13" s="14" t="inlineStr">
        <is>
          <t>-</t>
        </is>
      </c>
      <c r="L13" s="14" t="inlineStr">
        <is>
          <t>-</t>
        </is>
      </c>
      <c r="N13" s="14" t="inlineStr">
        <is>
          <t>-</t>
        </is>
      </c>
      <c r="O13" s="14" t="inlineStr">
        <is>
          <t>-</t>
        </is>
      </c>
      <c r="P13" s="14" t="inlineStr">
        <is>
          <t>-</t>
        </is>
      </c>
      <c r="Q13" s="15" t="n">
        <v>1</v>
      </c>
      <c r="R13" s="14" t="n">
        <v>1</v>
      </c>
      <c r="S13" s="15" t="n">
        <v>1</v>
      </c>
    </row>
    <row r="14">
      <c r="B14" s="16" t="inlineStr">
        <is>
          <t>Attainment of CO</t>
        </is>
      </c>
      <c r="P14" s="17">
        <f>AVERAGE(P13:P13)</f>
        <v/>
      </c>
      <c r="Q14" s="17" t="inlineStr"/>
      <c r="R14" s="17">
        <f>AVERAGE(R13:R13)</f>
        <v/>
      </c>
      <c r="S14" s="17" t="inlineStr"/>
    </row>
    <row r="16">
      <c r="B16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B14:O14"/>
    <mergeCell ref="C7:K7"/>
    <mergeCell ref="A5:B5"/>
    <mergeCell ref="C2:M2"/>
    <mergeCell ref="A8:B8"/>
    <mergeCell ref="C6:K6"/>
    <mergeCell ref="A4:B4"/>
    <mergeCell ref="C5:K5"/>
    <mergeCell ref="B16:S16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Q1</t>
        </is>
      </c>
      <c r="F11" s="20" t="inlineStr">
        <is>
          <t>Q2</t>
        </is>
      </c>
      <c r="G11" s="20" t="inlineStr">
        <is>
          <t>Q3</t>
        </is>
      </c>
      <c r="H11" s="20" t="inlineStr">
        <is>
          <t>Q4</t>
        </is>
      </c>
      <c r="I11" s="20" t="inlineStr">
        <is>
          <t>Q5</t>
        </is>
      </c>
      <c r="J11" s="20" t="inlineStr">
        <is>
          <t>Q6</t>
        </is>
      </c>
      <c r="K11" s="20" t="inlineStr">
        <is>
          <t>Q7</t>
        </is>
      </c>
      <c r="L11" s="20" t="inlineStr">
        <is>
          <t>Q8</t>
        </is>
      </c>
      <c r="M11" s="20" t="inlineStr">
        <is>
          <t>Q9</t>
        </is>
      </c>
      <c r="N11" s="20" t="inlineStr">
        <is>
          <t>Q10</t>
        </is>
      </c>
      <c r="O11" s="20" t="inlineStr">
        <is>
          <t>Q11</t>
        </is>
      </c>
      <c r="P11" s="20" t="inlineStr">
        <is>
          <t>Q12</t>
        </is>
      </c>
      <c r="Q11" s="20" t="inlineStr">
        <is>
          <t>Q13</t>
        </is>
      </c>
      <c r="R11" s="20" t="inlineStr">
        <is>
          <t>Q14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2</v>
      </c>
      <c r="M12" s="23" t="n">
        <v>2</v>
      </c>
      <c r="N12" s="23" t="n">
        <v>2</v>
      </c>
      <c r="O12" s="23" t="n">
        <v>2</v>
      </c>
      <c r="P12" s="23" t="n">
        <v>2</v>
      </c>
      <c r="Q12" s="23" t="n">
        <v>2</v>
      </c>
      <c r="R12" s="23" t="n">
        <v>2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n">
        <v>1</v>
      </c>
      <c r="F13" s="25" t="n">
        <v>1</v>
      </c>
      <c r="G13" s="25" t="n">
        <v>1</v>
      </c>
      <c r="H13" s="25" t="n">
        <v>1</v>
      </c>
      <c r="I13" s="25" t="n">
        <v>1</v>
      </c>
      <c r="J13" s="25" t="n">
        <v>1</v>
      </c>
      <c r="K13" s="25" t="n">
        <v>1</v>
      </c>
      <c r="L13" s="25" t="n">
        <v>1</v>
      </c>
      <c r="M13" s="25" t="n">
        <v>1</v>
      </c>
      <c r="N13" s="25" t="n">
        <v>1</v>
      </c>
      <c r="O13" s="25" t="n">
        <v>1</v>
      </c>
      <c r="P13" s="25" t="n">
        <v>1</v>
      </c>
      <c r="Q13" s="25" t="n">
        <v>1</v>
      </c>
      <c r="R13" s="25" t="n">
        <v>1</v>
      </c>
      <c r="S13" s="24" t="n"/>
    </row>
    <row r="14">
      <c r="A14" s="14" t="inlineStr">
        <is>
          <t>23611780179</t>
        </is>
      </c>
      <c r="B14" s="14" t="inlineStr">
        <is>
          <t>9</t>
        </is>
      </c>
      <c r="C14" s="26" t="inlineStr">
        <is>
          <t>Vaishnavi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27" t="inlineStr">
        <is>
          <t>Average</t>
        </is>
      </c>
      <c r="E15" s="8">
        <f>IFERROR(ROUND(AVERAGE(E14:E14), 2), 0)</f>
        <v/>
      </c>
      <c r="F15" s="8">
        <f>IFERROR(ROUND(AVERAGE(F14:F14), 2), 0)</f>
        <v/>
      </c>
      <c r="G15" s="8">
        <f>IFERROR(ROUND(AVERAGE(G14:G14), 2), 0)</f>
        <v/>
      </c>
      <c r="H15" s="8">
        <f>IFERROR(ROUND(AVERAGE(H14:H14), 2), 0)</f>
        <v/>
      </c>
      <c r="I15" s="8">
        <f>IFERROR(ROUND(AVERAGE(I14:I14), 2), 0)</f>
        <v/>
      </c>
      <c r="J15" s="8">
        <f>IFERROR(ROUND(AVERAGE(J14:J14), 2), 0)</f>
        <v/>
      </c>
      <c r="K15" s="8">
        <f>IFERROR(ROUND(AVERAGE(K14:K14), 2), 0)</f>
        <v/>
      </c>
      <c r="L15" s="8">
        <f>IFERROR(ROUND(AVERAGE(L14:L14), 2), 0)</f>
        <v/>
      </c>
      <c r="M15" s="8">
        <f>IFERROR(ROUND(AVERAGE(M14:M14), 2), 0)</f>
        <v/>
      </c>
      <c r="N15" s="8">
        <f>IFERROR(ROUND(AVERAGE(N14:N14), 2), 0)</f>
        <v/>
      </c>
      <c r="O15" s="8">
        <f>IFERROR(ROUND(AVERAGE(O14:O14), 2), 0)</f>
        <v/>
      </c>
      <c r="P15" s="8">
        <f>IFERROR(ROUND(AVERAGE(P14:P14), 2), 0)</f>
        <v/>
      </c>
      <c r="Q15" s="8">
        <f>IFERROR(ROUND(AVERAGE(Q14:Q14), 2), 0)</f>
        <v/>
      </c>
      <c r="R15" s="8">
        <f>IFERROR(ROUND(AVERAGE(R14:R14), 2), 0)</f>
        <v/>
      </c>
      <c r="S15" s="28">
        <f>IFERROR(ROUND(AVERAGE(S14:S14), 2), 0)</f>
        <v/>
      </c>
    </row>
    <row r="16">
      <c r="A16" s="27" t="inlineStr">
        <is>
          <t>Total Appeared</t>
        </is>
      </c>
      <c r="E16" s="8">
        <f>COUNT(E14:E14)</f>
        <v/>
      </c>
      <c r="F16" s="8">
        <f>COUNT(F14:F14)</f>
        <v/>
      </c>
      <c r="G16" s="8">
        <f>COUNT(G14:G14)</f>
        <v/>
      </c>
      <c r="H16" s="8">
        <f>COUNT(H14:H14)</f>
        <v/>
      </c>
      <c r="I16" s="8">
        <f>COUNT(I14:I14)</f>
        <v/>
      </c>
      <c r="J16" s="8">
        <f>COUNT(J14:J14)</f>
        <v/>
      </c>
      <c r="K16" s="8">
        <f>COUNT(K14:K14)</f>
        <v/>
      </c>
      <c r="L16" s="8">
        <f>COUNT(L14:L14)</f>
        <v/>
      </c>
      <c r="M16" s="8">
        <f>COUNT(M14:M14)</f>
        <v/>
      </c>
      <c r="N16" s="8">
        <f>COUNT(N14:N14)</f>
        <v/>
      </c>
      <c r="O16" s="8">
        <f>COUNT(O14:O14)</f>
        <v/>
      </c>
      <c r="P16" s="8">
        <f>COUNT(P14:P14)</f>
        <v/>
      </c>
      <c r="Q16" s="8">
        <f>COUNT(Q14:Q14)</f>
        <v/>
      </c>
      <c r="R16" s="8">
        <f>COUNT(R14:R14)</f>
        <v/>
      </c>
      <c r="S16" s="28">
        <f>COUNT(S14:S14)</f>
        <v/>
      </c>
    </row>
    <row r="17">
      <c r="A17" s="27" t="inlineStr">
        <is>
          <t>% above Avg</t>
        </is>
      </c>
      <c r="E17" s="8">
        <f>IF(COUNT(E14:E14)&gt;0, ROUND(COUNTIF(E14:E14, "&gt;="&amp;E15) / COUNT(E14:E14) * 100, 2) &amp; "%", "0%")</f>
        <v/>
      </c>
      <c r="F17" s="8">
        <f>IF(COUNT(F14:F14)&gt;0, ROUND(COUNTIF(F14:F14, "&gt;="&amp;F15) / COUNT(F14:F14) * 100, 2) &amp; "%", "0%")</f>
        <v/>
      </c>
      <c r="G17" s="8">
        <f>IF(COUNT(G14:G14)&gt;0, ROUND(COUNTIF(G14:G14, "&gt;="&amp;G15) / COUNT(G14:G14) * 100, 2) &amp; "%", "0%")</f>
        <v/>
      </c>
      <c r="H17" s="8">
        <f>IF(COUNT(H14:H14)&gt;0, ROUND(COUNTIF(H14:H14, "&gt;="&amp;H15) / COUNT(H14:H14) * 100, 2) &amp; "%", "0%")</f>
        <v/>
      </c>
      <c r="I17" s="8">
        <f>IF(COUNT(I14:I14)&gt;0, ROUND(COUNTIF(I14:I14, "&gt;="&amp;I15) / COUNT(I14:I14) * 100, 2) &amp; "%", "0%")</f>
        <v/>
      </c>
      <c r="J17" s="8">
        <f>IF(COUNT(J14:J14)&gt;0, ROUND(COUNTIF(J14:J14, "&gt;="&amp;J15) / COUNT(J14:J14) * 100, 2) &amp; "%", "0%")</f>
        <v/>
      </c>
      <c r="K17" s="8">
        <f>IF(COUNT(K14:K14)&gt;0, ROUND(COUNTIF(K14:K14, "&gt;="&amp;K15) / COUNT(K14:K14) * 100, 2) &amp; "%", "0%")</f>
        <v/>
      </c>
      <c r="L17" s="8">
        <f>IF(COUNT(L14:L14)&gt;0, ROUND(COUNTIF(L14:L14, "&gt;="&amp;L15) / COUNT(L14:L14) * 100, 2) &amp; "%", "0%")</f>
        <v/>
      </c>
      <c r="M17" s="8">
        <f>IF(COUNT(M14:M14)&gt;0, ROUND(COUNTIF(M14:M14, "&gt;="&amp;M15) / COUNT(M14:M14) * 100, 2) &amp; "%", "0%")</f>
        <v/>
      </c>
      <c r="N17" s="8">
        <f>IF(COUNT(N14:N14)&gt;0, ROUND(COUNTIF(N14:N14, "&gt;="&amp;N15) / COUNT(N14:N14) * 100, 2) &amp; "%", "0%")</f>
        <v/>
      </c>
      <c r="O17" s="8">
        <f>IF(COUNT(O14:O14)&gt;0, ROUND(COUNTIF(O14:O14, "&gt;="&amp;O15) / COUNT(O14:O14) * 100, 2) &amp; "%", "0%")</f>
        <v/>
      </c>
      <c r="P17" s="8">
        <f>IF(COUNT(P14:P14)&gt;0, ROUND(COUNTIF(P14:P14, "&gt;="&amp;P15) / COUNT(P14:P14) * 100, 2) &amp; "%", "0%")</f>
        <v/>
      </c>
      <c r="Q17" s="8">
        <f>IF(COUNT(Q14:Q14)&gt;0, ROUND(COUNTIF(Q14:Q14, "&gt;="&amp;Q15) / COUNT(Q14:Q14) * 100, 2) &amp; "%", "0%")</f>
        <v/>
      </c>
      <c r="R17" s="8">
        <f>IF(COUNT(R14:R14)&gt;0, ROUND(COUNTIF(R14:R14, "&gt;="&amp;R15) / COUNT(R14:R14) * 100, 2) &amp; "%", "0%")</f>
        <v/>
      </c>
      <c r="S17" s="28">
        <f>IF(COUNT(S14:S14)&gt;0, ROUND(COUNTIF(S14:S14, "&gt;="&amp;S15) / COUNT(S14:S14) * 100, 2) &amp; "%", "0%")</f>
        <v/>
      </c>
    </row>
    <row r="18">
      <c r="A18" s="27" t="inlineStr">
        <is>
          <t>CO Attainment</t>
        </is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28" t="n">
        <v>0</v>
      </c>
    </row>
    <row r="20">
      <c r="B20" s="29" t="inlineStr">
        <is>
          <t>CO attainment through FA-TH</t>
        </is>
      </c>
    </row>
    <row r="21">
      <c r="B21" s="30" t="inlineStr">
        <is>
          <t>% CO Attained</t>
        </is>
      </c>
      <c r="C21" s="30" t="inlineStr">
        <is>
          <t>CO attainment</t>
        </is>
      </c>
    </row>
    <row r="22">
      <c r="B22" s="8" t="inlineStr">
        <is>
          <t>CO1</t>
        </is>
      </c>
      <c r="C22" s="9" t="n">
        <v>0</v>
      </c>
      <c r="D22" s="8" t="n">
        <v>0</v>
      </c>
    </row>
  </sheetData>
  <mergeCells count="26">
    <mergeCell ref="C3:M3"/>
    <mergeCell ref="C11:C13"/>
    <mergeCell ref="C9:K9"/>
    <mergeCell ref="A18:C18"/>
    <mergeCell ref="A1:B3"/>
    <mergeCell ref="A6:B6"/>
    <mergeCell ref="A7:B7"/>
    <mergeCell ref="C1:M1"/>
    <mergeCell ref="A17:C17"/>
    <mergeCell ref="C8:K8"/>
    <mergeCell ref="B20:D20"/>
    <mergeCell ref="C7:K7"/>
    <mergeCell ref="C21:D21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Q1</t>
        </is>
      </c>
      <c r="F11" s="20" t="inlineStr">
        <is>
          <t>Q2</t>
        </is>
      </c>
      <c r="G11" s="20" t="inlineStr">
        <is>
          <t>Q3</t>
        </is>
      </c>
      <c r="H11" s="20" t="inlineStr">
        <is>
          <t>Q4</t>
        </is>
      </c>
      <c r="I11" s="20" t="inlineStr">
        <is>
          <t>Q5</t>
        </is>
      </c>
      <c r="J11" s="20" t="inlineStr">
        <is>
          <t>Q6</t>
        </is>
      </c>
      <c r="K11" s="20" t="inlineStr">
        <is>
          <t>Q7</t>
        </is>
      </c>
      <c r="L11" s="20" t="inlineStr">
        <is>
          <t>Q8</t>
        </is>
      </c>
      <c r="M11" s="20" t="inlineStr">
        <is>
          <t>Q9</t>
        </is>
      </c>
      <c r="N11" s="20" t="inlineStr">
        <is>
          <t>Q10</t>
        </is>
      </c>
      <c r="O11" s="20" t="inlineStr">
        <is>
          <t>Q11</t>
        </is>
      </c>
      <c r="P11" s="20" t="inlineStr">
        <is>
          <t>Q12</t>
        </is>
      </c>
      <c r="Q11" s="20" t="inlineStr">
        <is>
          <t>Q13</t>
        </is>
      </c>
      <c r="R11" s="20" t="inlineStr">
        <is>
          <t>Q14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2</v>
      </c>
      <c r="M12" s="23" t="n">
        <v>2</v>
      </c>
      <c r="N12" s="23" t="n">
        <v>2</v>
      </c>
      <c r="O12" s="23" t="n">
        <v>2</v>
      </c>
      <c r="P12" s="23" t="n">
        <v>2</v>
      </c>
      <c r="Q12" s="23" t="n">
        <v>2</v>
      </c>
      <c r="R12" s="23" t="n">
        <v>2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n">
        <v>1</v>
      </c>
      <c r="F13" s="25" t="n">
        <v>1</v>
      </c>
      <c r="G13" s="25" t="n">
        <v>1</v>
      </c>
      <c r="H13" s="25" t="n">
        <v>1</v>
      </c>
      <c r="I13" s="25" t="n">
        <v>1</v>
      </c>
      <c r="J13" s="25" t="n">
        <v>1</v>
      </c>
      <c r="K13" s="25" t="n">
        <v>1</v>
      </c>
      <c r="L13" s="25" t="n">
        <v>1</v>
      </c>
      <c r="M13" s="25" t="n">
        <v>1</v>
      </c>
      <c r="N13" s="25" t="n">
        <v>1</v>
      </c>
      <c r="O13" s="25" t="n">
        <v>1</v>
      </c>
      <c r="P13" s="25" t="n">
        <v>1</v>
      </c>
      <c r="Q13" s="25" t="n">
        <v>1</v>
      </c>
      <c r="R13" s="25" t="n">
        <v>1</v>
      </c>
      <c r="S13" s="24" t="n"/>
    </row>
    <row r="14">
      <c r="A14" s="14" t="inlineStr">
        <is>
          <t>23611780179</t>
        </is>
      </c>
      <c r="B14" s="14" t="inlineStr">
        <is>
          <t>9</t>
        </is>
      </c>
      <c r="C14" s="26" t="inlineStr">
        <is>
          <t>Vaishnavi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27" t="inlineStr">
        <is>
          <t>Average</t>
        </is>
      </c>
      <c r="E15" s="8">
        <f>IFERROR(ROUND(AVERAGE(E14:E14), 2), 0)</f>
        <v/>
      </c>
      <c r="F15" s="8">
        <f>IFERROR(ROUND(AVERAGE(F14:F14), 2), 0)</f>
        <v/>
      </c>
      <c r="G15" s="8">
        <f>IFERROR(ROUND(AVERAGE(G14:G14), 2), 0)</f>
        <v/>
      </c>
      <c r="H15" s="8">
        <f>IFERROR(ROUND(AVERAGE(H14:H14), 2), 0)</f>
        <v/>
      </c>
      <c r="I15" s="8">
        <f>IFERROR(ROUND(AVERAGE(I14:I14), 2), 0)</f>
        <v/>
      </c>
      <c r="J15" s="8">
        <f>IFERROR(ROUND(AVERAGE(J14:J14), 2), 0)</f>
        <v/>
      </c>
      <c r="K15" s="8">
        <f>IFERROR(ROUND(AVERAGE(K14:K14), 2), 0)</f>
        <v/>
      </c>
      <c r="L15" s="8">
        <f>IFERROR(ROUND(AVERAGE(L14:L14), 2), 0)</f>
        <v/>
      </c>
      <c r="M15" s="8">
        <f>IFERROR(ROUND(AVERAGE(M14:M14), 2), 0)</f>
        <v/>
      </c>
      <c r="N15" s="8">
        <f>IFERROR(ROUND(AVERAGE(N14:N14), 2), 0)</f>
        <v/>
      </c>
      <c r="O15" s="8">
        <f>IFERROR(ROUND(AVERAGE(O14:O14), 2), 0)</f>
        <v/>
      </c>
      <c r="P15" s="8">
        <f>IFERROR(ROUND(AVERAGE(P14:P14), 2), 0)</f>
        <v/>
      </c>
      <c r="Q15" s="8">
        <f>IFERROR(ROUND(AVERAGE(Q14:Q14), 2), 0)</f>
        <v/>
      </c>
      <c r="R15" s="8">
        <f>IFERROR(ROUND(AVERAGE(R14:R14), 2), 0)</f>
        <v/>
      </c>
      <c r="S15" s="28">
        <f>IFERROR(ROUND(AVERAGE(S14:S14), 2), 0)</f>
        <v/>
      </c>
    </row>
    <row r="16">
      <c r="A16" s="27" t="inlineStr">
        <is>
          <t>Total Appeared</t>
        </is>
      </c>
      <c r="E16" s="8">
        <f>COUNT(E14:E14)</f>
        <v/>
      </c>
      <c r="F16" s="8">
        <f>COUNT(F14:F14)</f>
        <v/>
      </c>
      <c r="G16" s="8">
        <f>COUNT(G14:G14)</f>
        <v/>
      </c>
      <c r="H16" s="8">
        <f>COUNT(H14:H14)</f>
        <v/>
      </c>
      <c r="I16" s="8">
        <f>COUNT(I14:I14)</f>
        <v/>
      </c>
      <c r="J16" s="8">
        <f>COUNT(J14:J14)</f>
        <v/>
      </c>
      <c r="K16" s="8">
        <f>COUNT(K14:K14)</f>
        <v/>
      </c>
      <c r="L16" s="8">
        <f>COUNT(L14:L14)</f>
        <v/>
      </c>
      <c r="M16" s="8">
        <f>COUNT(M14:M14)</f>
        <v/>
      </c>
      <c r="N16" s="8">
        <f>COUNT(N14:N14)</f>
        <v/>
      </c>
      <c r="O16" s="8">
        <f>COUNT(O14:O14)</f>
        <v/>
      </c>
      <c r="P16" s="8">
        <f>COUNT(P14:P14)</f>
        <v/>
      </c>
      <c r="Q16" s="8">
        <f>COUNT(Q14:Q14)</f>
        <v/>
      </c>
      <c r="R16" s="8">
        <f>COUNT(R14:R14)</f>
        <v/>
      </c>
      <c r="S16" s="28">
        <f>COUNT(S14:S14)</f>
        <v/>
      </c>
    </row>
    <row r="17">
      <c r="A17" s="27" t="inlineStr">
        <is>
          <t>% above Avg</t>
        </is>
      </c>
      <c r="E17" s="8">
        <f>IF(COUNT(E14:E14)&gt;0, ROUND(COUNTIF(E14:E14, "&gt;="&amp;E15) / COUNT(E14:E14) * 100, 2) &amp; "%", "0%")</f>
        <v/>
      </c>
      <c r="F17" s="8">
        <f>IF(COUNT(F14:F14)&gt;0, ROUND(COUNTIF(F14:F14, "&gt;="&amp;F15) / COUNT(F14:F14) * 100, 2) &amp; "%", "0%")</f>
        <v/>
      </c>
      <c r="G17" s="8">
        <f>IF(COUNT(G14:G14)&gt;0, ROUND(COUNTIF(G14:G14, "&gt;="&amp;G15) / COUNT(G14:G14) * 100, 2) &amp; "%", "0%")</f>
        <v/>
      </c>
      <c r="H17" s="8">
        <f>IF(COUNT(H14:H14)&gt;0, ROUND(COUNTIF(H14:H14, "&gt;="&amp;H15) / COUNT(H14:H14) * 100, 2) &amp; "%", "0%")</f>
        <v/>
      </c>
      <c r="I17" s="8">
        <f>IF(COUNT(I14:I14)&gt;0, ROUND(COUNTIF(I14:I14, "&gt;="&amp;I15) / COUNT(I14:I14) * 100, 2) &amp; "%", "0%")</f>
        <v/>
      </c>
      <c r="J17" s="8">
        <f>IF(COUNT(J14:J14)&gt;0, ROUND(COUNTIF(J14:J14, "&gt;="&amp;J15) / COUNT(J14:J14) * 100, 2) &amp; "%", "0%")</f>
        <v/>
      </c>
      <c r="K17" s="8">
        <f>IF(COUNT(K14:K14)&gt;0, ROUND(COUNTIF(K14:K14, "&gt;="&amp;K15) / COUNT(K14:K14) * 100, 2) &amp; "%", "0%")</f>
        <v/>
      </c>
      <c r="L17" s="8">
        <f>IF(COUNT(L14:L14)&gt;0, ROUND(COUNTIF(L14:L14, "&gt;="&amp;L15) / COUNT(L14:L14) * 100, 2) &amp; "%", "0%")</f>
        <v/>
      </c>
      <c r="M17" s="8">
        <f>IF(COUNT(M14:M14)&gt;0, ROUND(COUNTIF(M14:M14, "&gt;="&amp;M15) / COUNT(M14:M14) * 100, 2) &amp; "%", "0%")</f>
        <v/>
      </c>
      <c r="N17" s="8">
        <f>IF(COUNT(N14:N14)&gt;0, ROUND(COUNTIF(N14:N14, "&gt;="&amp;N15) / COUNT(N14:N14) * 100, 2) &amp; "%", "0%")</f>
        <v/>
      </c>
      <c r="O17" s="8">
        <f>IF(COUNT(O14:O14)&gt;0, ROUND(COUNTIF(O14:O14, "&gt;="&amp;O15) / COUNT(O14:O14) * 100, 2) &amp; "%", "0%")</f>
        <v/>
      </c>
      <c r="P17" s="8">
        <f>IF(COUNT(P14:P14)&gt;0, ROUND(COUNTIF(P14:P14, "&gt;="&amp;P15) / COUNT(P14:P14) * 100, 2) &amp; "%", "0%")</f>
        <v/>
      </c>
      <c r="Q17" s="8">
        <f>IF(COUNT(Q14:Q14)&gt;0, ROUND(COUNTIF(Q14:Q14, "&gt;="&amp;Q15) / COUNT(Q14:Q14) * 100, 2) &amp; "%", "0%")</f>
        <v/>
      </c>
      <c r="R17" s="8">
        <f>IF(COUNT(R14:R14)&gt;0, ROUND(COUNTIF(R14:R14, "&gt;="&amp;R15) / COUNT(R14:R14) * 100, 2) &amp; "%", "0%")</f>
        <v/>
      </c>
      <c r="S17" s="28">
        <f>IF(COUNT(S14:S14)&gt;0, ROUND(COUNTIF(S14:S14, "&gt;="&amp;S15) / COUNT(S14:S14) * 100, 2) &amp; "%", "0%")</f>
        <v/>
      </c>
    </row>
    <row r="18">
      <c r="A18" s="27" t="inlineStr">
        <is>
          <t>CO Attainment</t>
        </is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28" t="n">
        <v>0</v>
      </c>
    </row>
    <row r="20">
      <c r="B20" s="29" t="inlineStr">
        <is>
          <t>CO attainment through FA-TH</t>
        </is>
      </c>
    </row>
    <row r="21">
      <c r="B21" s="30" t="inlineStr">
        <is>
          <t>% CO Attained</t>
        </is>
      </c>
      <c r="C21" s="30" t="inlineStr">
        <is>
          <t>CO attainment</t>
        </is>
      </c>
    </row>
    <row r="22">
      <c r="B22" s="8" t="inlineStr">
        <is>
          <t>CO1</t>
        </is>
      </c>
      <c r="C22" s="9" t="n">
        <v>0</v>
      </c>
      <c r="D22" s="8" t="n">
        <v>0</v>
      </c>
    </row>
  </sheetData>
  <mergeCells count="26">
    <mergeCell ref="C3:M3"/>
    <mergeCell ref="C11:C13"/>
    <mergeCell ref="C9:K9"/>
    <mergeCell ref="A18:C18"/>
    <mergeCell ref="A1:B3"/>
    <mergeCell ref="A6:B6"/>
    <mergeCell ref="A7:B7"/>
    <mergeCell ref="C1:M1"/>
    <mergeCell ref="A17:C17"/>
    <mergeCell ref="C8:K8"/>
    <mergeCell ref="B20:D20"/>
    <mergeCell ref="C7:K7"/>
    <mergeCell ref="C21:D21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P1</t>
        </is>
      </c>
      <c r="F11" s="25" t="inlineStr">
        <is>
          <t>P2</t>
        </is>
      </c>
      <c r="G11" s="25" t="inlineStr">
        <is>
          <t>P3</t>
        </is>
      </c>
      <c r="H11" s="25" t="inlineStr">
        <is>
          <t>P4</t>
        </is>
      </c>
      <c r="I11" s="25" t="inlineStr">
        <is>
          <t>P5</t>
        </is>
      </c>
      <c r="J11" s="25" t="inlineStr">
        <is>
          <t>P6</t>
        </is>
      </c>
      <c r="K11" s="25" t="inlineStr">
        <is>
          <t>P7</t>
        </is>
      </c>
      <c r="L11" s="25" t="inlineStr">
        <is>
          <t>P8</t>
        </is>
      </c>
      <c r="M11" s="25" t="inlineStr">
        <is>
          <t>P9</t>
        </is>
      </c>
      <c r="N11" s="25" t="inlineStr">
        <is>
          <t>P10</t>
        </is>
      </c>
      <c r="O11" s="25" t="inlineStr">
        <is>
          <t>P11</t>
        </is>
      </c>
      <c r="P11" s="25" t="inlineStr">
        <is>
          <t>P12</t>
        </is>
      </c>
      <c r="Q11" s="25" t="inlineStr">
        <is>
          <t>P13</t>
        </is>
      </c>
      <c r="R11" s="25" t="inlineStr">
        <is>
          <t>P14</t>
        </is>
      </c>
      <c r="S11" s="25" t="inlineStr">
        <is>
          <t>P15</t>
        </is>
      </c>
      <c r="T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25</v>
      </c>
      <c r="F12" s="23" t="n">
        <v>25</v>
      </c>
      <c r="G12" s="23" t="n">
        <v>25</v>
      </c>
      <c r="H12" s="23" t="n">
        <v>25</v>
      </c>
      <c r="I12" s="23" t="n">
        <v>25</v>
      </c>
      <c r="J12" s="23" t="n">
        <v>25</v>
      </c>
      <c r="K12" s="23" t="n">
        <v>25</v>
      </c>
      <c r="L12" s="23" t="n">
        <v>25</v>
      </c>
      <c r="M12" s="23" t="n">
        <v>25</v>
      </c>
      <c r="N12" s="23" t="n">
        <v>25</v>
      </c>
      <c r="O12" s="23" t="n">
        <v>25</v>
      </c>
      <c r="P12" s="23" t="n">
        <v>25</v>
      </c>
      <c r="Q12" s="23" t="n">
        <v>25</v>
      </c>
      <c r="R12" s="23" t="n">
        <v>25</v>
      </c>
      <c r="S12" s="23" t="n">
        <v>25</v>
      </c>
      <c r="T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CO1</t>
        </is>
      </c>
      <c r="G13" s="32" t="inlineStr">
        <is>
          <t>CO1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CO3</t>
        </is>
      </c>
      <c r="L13" s="32" t="inlineStr">
        <is>
          <t>CO3</t>
        </is>
      </c>
      <c r="M13" s="32" t="inlineStr">
        <is>
          <t>CO3</t>
        </is>
      </c>
      <c r="N13" s="32" t="inlineStr">
        <is>
          <t>CO4</t>
        </is>
      </c>
      <c r="O13" s="32" t="inlineStr">
        <is>
          <t>CO4</t>
        </is>
      </c>
      <c r="P13" s="32" t="inlineStr">
        <is>
          <t>CO4</t>
        </is>
      </c>
      <c r="Q13" s="32" t="inlineStr">
        <is>
          <t>CO5</t>
        </is>
      </c>
      <c r="R13" s="32" t="inlineStr">
        <is>
          <t>CO5</t>
        </is>
      </c>
      <c r="S13" s="32" t="inlineStr">
        <is>
          <t>CO5</t>
        </is>
      </c>
      <c r="T13" s="24" t="n"/>
    </row>
    <row r="14">
      <c r="A14" s="14" t="inlineStr">
        <is>
          <t>23611780179</t>
        </is>
      </c>
      <c r="B14" s="14" t="inlineStr">
        <is>
          <t>9</t>
        </is>
      </c>
      <c r="C14" s="26" t="inlineStr">
        <is>
          <t>Vaishnavi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</row>
    <row r="15">
      <c r="A15" s="27" t="inlineStr">
        <is>
          <t>Average</t>
        </is>
      </c>
      <c r="E15" s="8">
        <f>IFERROR(ROUND(AVERAGE(E14:E14), 2), 0)</f>
        <v/>
      </c>
      <c r="F15" s="8">
        <f>IFERROR(ROUND(AVERAGE(F14:F14), 2), 0)</f>
        <v/>
      </c>
      <c r="G15" s="8">
        <f>IFERROR(ROUND(AVERAGE(G14:G14), 2), 0)</f>
        <v/>
      </c>
      <c r="H15" s="8">
        <f>IFERROR(ROUND(AVERAGE(H14:H14), 2), 0)</f>
        <v/>
      </c>
      <c r="I15" s="8">
        <f>IFERROR(ROUND(AVERAGE(I14:I14), 2), 0)</f>
        <v/>
      </c>
      <c r="J15" s="8">
        <f>IFERROR(ROUND(AVERAGE(J14:J14), 2), 0)</f>
        <v/>
      </c>
      <c r="K15" s="8">
        <f>IFERROR(ROUND(AVERAGE(K14:K14), 2), 0)</f>
        <v/>
      </c>
      <c r="L15" s="8">
        <f>IFERROR(ROUND(AVERAGE(L14:L14), 2), 0)</f>
        <v/>
      </c>
      <c r="M15" s="8">
        <f>IFERROR(ROUND(AVERAGE(M14:M14), 2), 0)</f>
        <v/>
      </c>
      <c r="N15" s="8">
        <f>IFERROR(ROUND(AVERAGE(N14:N14), 2), 0)</f>
        <v/>
      </c>
      <c r="O15" s="8">
        <f>IFERROR(ROUND(AVERAGE(O14:O14), 2), 0)</f>
        <v/>
      </c>
      <c r="P15" s="8">
        <f>IFERROR(ROUND(AVERAGE(P14:P14), 2), 0)</f>
        <v/>
      </c>
      <c r="Q15" s="8">
        <f>IFERROR(ROUND(AVERAGE(Q14:Q14), 2), 0)</f>
        <v/>
      </c>
      <c r="R15" s="8">
        <f>IFERROR(ROUND(AVERAGE(R14:R14), 2), 0)</f>
        <v/>
      </c>
      <c r="S15" s="8">
        <f>IFERROR(ROUND(AVERAGE(S14:S14), 2), 0)</f>
        <v/>
      </c>
      <c r="T15" s="28">
        <f>IFERROR(ROUND(AVERAGE(T14:T14), 2), 0)</f>
        <v/>
      </c>
    </row>
    <row r="16">
      <c r="A16" s="27" t="inlineStr">
        <is>
          <t>Total Appeared</t>
        </is>
      </c>
      <c r="E16" s="8">
        <f>COUNT(E14:E14)</f>
        <v/>
      </c>
      <c r="F16" s="8">
        <f>COUNT(F14:F14)</f>
        <v/>
      </c>
      <c r="G16" s="8">
        <f>COUNT(G14:G14)</f>
        <v/>
      </c>
      <c r="H16" s="8">
        <f>COUNT(H14:H14)</f>
        <v/>
      </c>
      <c r="I16" s="8">
        <f>COUNT(I14:I14)</f>
        <v/>
      </c>
      <c r="J16" s="8">
        <f>COUNT(J14:J14)</f>
        <v/>
      </c>
      <c r="K16" s="8">
        <f>COUNT(K14:K14)</f>
        <v/>
      </c>
      <c r="L16" s="8">
        <f>COUNT(L14:L14)</f>
        <v/>
      </c>
      <c r="M16" s="8">
        <f>COUNT(M14:M14)</f>
        <v/>
      </c>
      <c r="N16" s="8">
        <f>COUNT(N14:N14)</f>
        <v/>
      </c>
      <c r="O16" s="8">
        <f>COUNT(O14:O14)</f>
        <v/>
      </c>
      <c r="P16" s="8">
        <f>COUNT(P14:P14)</f>
        <v/>
      </c>
      <c r="Q16" s="8">
        <f>COUNT(Q14:Q14)</f>
        <v/>
      </c>
      <c r="R16" s="8">
        <f>COUNT(R14:R14)</f>
        <v/>
      </c>
      <c r="S16" s="8">
        <f>COUNT(S14:S14)</f>
        <v/>
      </c>
      <c r="T16" s="28">
        <f>COUNT(T14:T14)</f>
        <v/>
      </c>
    </row>
    <row r="17">
      <c r="A17" s="27" t="inlineStr">
        <is>
          <t>% above Avg</t>
        </is>
      </c>
      <c r="E17" s="8">
        <f>IF(COUNT(E14:E14)&gt;0, ROUND(COUNTIF(E14:E14, "&gt;="&amp;E15) / COUNT(E14:E14) * 100, 2) &amp; "%", "0%")</f>
        <v/>
      </c>
      <c r="F17" s="8">
        <f>IF(COUNT(F14:F14)&gt;0, ROUND(COUNTIF(F14:F14, "&gt;="&amp;F15) / COUNT(F14:F14) * 100, 2) &amp; "%", "0%")</f>
        <v/>
      </c>
      <c r="G17" s="8">
        <f>IF(COUNT(G14:G14)&gt;0, ROUND(COUNTIF(G14:G14, "&gt;="&amp;G15) / COUNT(G14:G14) * 100, 2) &amp; "%", "0%")</f>
        <v/>
      </c>
      <c r="H17" s="8">
        <f>IF(COUNT(H14:H14)&gt;0, ROUND(COUNTIF(H14:H14, "&gt;="&amp;H15) / COUNT(H14:H14) * 100, 2) &amp; "%", "0%")</f>
        <v/>
      </c>
      <c r="I17" s="8">
        <f>IF(COUNT(I14:I14)&gt;0, ROUND(COUNTIF(I14:I14, "&gt;="&amp;I15) / COUNT(I14:I14) * 100, 2) &amp; "%", "0%")</f>
        <v/>
      </c>
      <c r="J17" s="8">
        <f>IF(COUNT(J14:J14)&gt;0, ROUND(COUNTIF(J14:J14, "&gt;="&amp;J15) / COUNT(J14:J14) * 100, 2) &amp; "%", "0%")</f>
        <v/>
      </c>
      <c r="K17" s="8">
        <f>IF(COUNT(K14:K14)&gt;0, ROUND(COUNTIF(K14:K14, "&gt;="&amp;K15) / COUNT(K14:K14) * 100, 2) &amp; "%", "0%")</f>
        <v/>
      </c>
      <c r="L17" s="8">
        <f>IF(COUNT(L14:L14)&gt;0, ROUND(COUNTIF(L14:L14, "&gt;="&amp;L15) / COUNT(L14:L14) * 100, 2) &amp; "%", "0%")</f>
        <v/>
      </c>
      <c r="M17" s="8">
        <f>IF(COUNT(M14:M14)&gt;0, ROUND(COUNTIF(M14:M14, "&gt;="&amp;M15) / COUNT(M14:M14) * 100, 2) &amp; "%", "0%")</f>
        <v/>
      </c>
      <c r="N17" s="8">
        <f>IF(COUNT(N14:N14)&gt;0, ROUND(COUNTIF(N14:N14, "&gt;="&amp;N15) / COUNT(N14:N14) * 100, 2) &amp; "%", "0%")</f>
        <v/>
      </c>
      <c r="O17" s="8">
        <f>IF(COUNT(O14:O14)&gt;0, ROUND(COUNTIF(O14:O14, "&gt;="&amp;O15) / COUNT(O14:O14) * 100, 2) &amp; "%", "0%")</f>
        <v/>
      </c>
      <c r="P17" s="8">
        <f>IF(COUNT(P14:P14)&gt;0, ROUND(COUNTIF(P14:P14, "&gt;="&amp;P15) / COUNT(P14:P14) * 100, 2) &amp; "%", "0%")</f>
        <v/>
      </c>
      <c r="Q17" s="8">
        <f>IF(COUNT(Q14:Q14)&gt;0, ROUND(COUNTIF(Q14:Q14, "&gt;="&amp;Q15) / COUNT(Q14:Q14) * 100, 2) &amp; "%", "0%")</f>
        <v/>
      </c>
      <c r="R17" s="8">
        <f>IF(COUNT(R14:R14)&gt;0, ROUND(COUNTIF(R14:R14, "&gt;="&amp;R15) / COUNT(R14:R14) * 100, 2) &amp; "%", "0%")</f>
        <v/>
      </c>
      <c r="S17" s="8">
        <f>IF(COUNT(S14:S14)&gt;0, ROUND(COUNTIF(S14:S14, "&gt;="&amp;S15) / COUNT(S14:S14) * 100, 2) &amp; "%", "0%")</f>
        <v/>
      </c>
      <c r="T17" s="28">
        <f>IF(COUNT(T14:T14)&gt;0, ROUND(COUNTIF(T14:T14, "&gt;="&amp;T15) / COUNT(T14:T14) * 100, 2) &amp; "%", "0%")</f>
        <v/>
      </c>
    </row>
    <row r="18">
      <c r="A18" s="27" t="inlineStr">
        <is>
          <t>CO Attainment</t>
        </is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28" t="n">
        <v>0</v>
      </c>
    </row>
    <row r="20">
      <c r="B20" s="29" t="inlineStr">
        <is>
          <t>CO attainment through FA-PR</t>
        </is>
      </c>
    </row>
    <row r="21">
      <c r="B21" s="30" t="inlineStr">
        <is>
          <t>% CO Attained</t>
        </is>
      </c>
      <c r="C21" s="30" t="inlineStr">
        <is>
          <t>CO attainment</t>
        </is>
      </c>
    </row>
    <row r="22">
      <c r="B22" s="8" t="inlineStr">
        <is>
          <t>CO1</t>
        </is>
      </c>
      <c r="C22" s="9" t="n">
        <v>0</v>
      </c>
      <c r="D22" s="8" t="n">
        <v>0</v>
      </c>
    </row>
    <row r="23">
      <c r="B23" s="8" t="inlineStr">
        <is>
          <t>CO2</t>
        </is>
      </c>
      <c r="C23" s="9" t="n">
        <v>0</v>
      </c>
      <c r="D23" s="8" t="n">
        <v>0</v>
      </c>
    </row>
    <row r="24">
      <c r="B24" s="8" t="inlineStr">
        <is>
          <t>CO3</t>
        </is>
      </c>
      <c r="C24" s="9" t="n">
        <v>0</v>
      </c>
      <c r="D24" s="8" t="n">
        <v>0</v>
      </c>
    </row>
    <row r="25">
      <c r="B25" s="8" t="inlineStr">
        <is>
          <t>CO4</t>
        </is>
      </c>
      <c r="C25" s="9" t="n">
        <v>0</v>
      </c>
      <c r="D25" s="8" t="n">
        <v>0</v>
      </c>
    </row>
    <row r="26">
      <c r="B26" s="8" t="inlineStr">
        <is>
          <t>CO5</t>
        </is>
      </c>
      <c r="C26" s="9" t="n">
        <v>0</v>
      </c>
      <c r="D26" s="8" t="n">
        <v>0</v>
      </c>
    </row>
  </sheetData>
  <mergeCells count="26">
    <mergeCell ref="C3:M3"/>
    <mergeCell ref="T11:T13"/>
    <mergeCell ref="C11:C13"/>
    <mergeCell ref="C9:K9"/>
    <mergeCell ref="A18:C18"/>
    <mergeCell ref="A1:B3"/>
    <mergeCell ref="A6:B6"/>
    <mergeCell ref="A7:B7"/>
    <mergeCell ref="C1:M1"/>
    <mergeCell ref="A17:C17"/>
    <mergeCell ref="C8:K8"/>
    <mergeCell ref="B20:D20"/>
    <mergeCell ref="C7:K7"/>
    <mergeCell ref="C21:D21"/>
    <mergeCell ref="A5:B5"/>
    <mergeCell ref="A11:A13"/>
    <mergeCell ref="C2:M2"/>
    <mergeCell ref="B11:B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23611780179</t>
        </is>
      </c>
      <c r="B11" s="14" t="inlineStr">
        <is>
          <t>9</t>
        </is>
      </c>
      <c r="C11" s="26" t="inlineStr">
        <is>
          <t>Vaishnavi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</row>
    <row r="12">
      <c r="A12" s="27" t="inlineStr">
        <is>
          <t>Average</t>
        </is>
      </c>
      <c r="D12" s="8">
        <f>IFERROR(ROUND(AVERAGE(D11:D11), 2), 0)</f>
        <v/>
      </c>
      <c r="E12" s="8">
        <f>IFERROR(ROUND(AVERAGE(E11:E11), 2), 0)</f>
        <v/>
      </c>
      <c r="F12" s="8">
        <f>IFERROR(ROUND(AVERAGE(F11:F11), 2), 0)</f>
        <v/>
      </c>
      <c r="G12" s="8">
        <f>IFERROR(ROUND(AVERAGE(G11:G11), 2), 0)</f>
        <v/>
      </c>
      <c r="H12" s="8">
        <f>IFERROR(ROUND(AVERAGE(H11:H11), 2), 0)</f>
        <v/>
      </c>
      <c r="I12" s="8">
        <f>IFERROR(ROUND(AVERAGE(I11:I11), 2), 0)</f>
        <v/>
      </c>
      <c r="J12" s="8">
        <f>IFERROR(ROUND(AVERAGE(J11:J11), 2), 0)</f>
        <v/>
      </c>
    </row>
    <row r="13">
      <c r="A13" s="27" t="inlineStr">
        <is>
          <t>Total Appeared</t>
        </is>
      </c>
      <c r="D13" s="8">
        <f>COUNT(D11:D11)</f>
        <v/>
      </c>
      <c r="E13" s="8">
        <f>COUNT(E11:E11)</f>
        <v/>
      </c>
      <c r="F13" s="8">
        <f>COUNT(F11:F11)</f>
        <v/>
      </c>
      <c r="G13" s="8">
        <f>COUNT(G11:G11)</f>
        <v/>
      </c>
      <c r="H13" s="8">
        <f>COUNT(H11:H11)</f>
        <v/>
      </c>
      <c r="I13" s="8">
        <f>COUNT(I11:I11)</f>
        <v/>
      </c>
      <c r="J13" s="8">
        <f>COUNT(J11:J11)</f>
        <v/>
      </c>
    </row>
    <row r="14">
      <c r="A14" s="27" t="inlineStr">
        <is>
          <t>% above Avg</t>
        </is>
      </c>
      <c r="D14" s="8">
        <f>IF(COUNT(D11:D11)&gt;0, ROUND(COUNTIF(D11:D11, "&gt;="&amp;D12) / COUNT(D11:D11) * 100, 2) &amp; "%", "0%")</f>
        <v/>
      </c>
      <c r="E14" s="8">
        <f>IF(COUNT(E11:E11)&gt;0, ROUND(COUNTIF(E11:E11, "&gt;="&amp;E12) / COUNT(E11:E11) * 100, 2) &amp; "%", "0%")</f>
        <v/>
      </c>
      <c r="F14" s="8">
        <f>IF(COUNT(F11:F11)&gt;0, ROUND(COUNTIF(F11:F11, "&gt;="&amp;F12) / COUNT(F11:F11) * 100, 2) &amp; "%", "0%")</f>
        <v/>
      </c>
      <c r="G14" s="8">
        <f>IF(COUNT(G11:G11)&gt;0, ROUND(COUNTIF(G11:G11, "&gt;="&amp;G12) / COUNT(G11:G11) * 100, 2) &amp; "%", "0%")</f>
        <v/>
      </c>
      <c r="H14" s="8">
        <f>IF(COUNT(H11:H11)&gt;0, ROUND(COUNTIF(H11:H11, "&gt;="&amp;H12) / COUNT(H11:H11) * 100, 2) &amp; "%", "0%")</f>
        <v/>
      </c>
      <c r="I14" s="8">
        <f>IF(COUNT(I11:I11)&gt;0, ROUND(COUNTIF(I11:I11, "&gt;="&amp;I12) / COUNT(I11:I11) * 100, 2) &amp; "%", "0%")</f>
        <v/>
      </c>
      <c r="J14" s="8">
        <f>IF(COUNT(J11:J11)&gt;0, ROUND(COUNTIF(J11:J11, "&gt;="&amp;J12) / COUNT(J11:J11) * 100, 2) &amp; "%", "0%")</f>
        <v/>
      </c>
    </row>
    <row r="15">
      <c r="A15" s="27" t="inlineStr">
        <is>
          <t>CO Attainment</t>
        </is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</row>
    <row r="17">
      <c r="B17" s="33" t="inlineStr">
        <is>
          <t>CO attainment through SLA</t>
        </is>
      </c>
    </row>
    <row r="18">
      <c r="B18" s="14" t="inlineStr">
        <is>
          <t>% CO Attained</t>
        </is>
      </c>
      <c r="C18" s="14" t="inlineStr">
        <is>
          <t>CO attainment</t>
        </is>
      </c>
    </row>
  </sheetData>
  <mergeCells count="22">
    <mergeCell ref="C3:M3"/>
    <mergeCell ref="B17:D17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C5:K5"/>
    <mergeCell ref="C18:D1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23611780179</t>
        </is>
      </c>
      <c r="B11" s="14" t="inlineStr">
        <is>
          <t>9</t>
        </is>
      </c>
      <c r="C11" s="26" t="inlineStr">
        <is>
          <t>Vaishnavi</t>
        </is>
      </c>
      <c r="D11" s="8" t="inlineStr">
        <is>
          <t>-</t>
        </is>
      </c>
    </row>
    <row r="12">
      <c r="A12" s="27" t="inlineStr">
        <is>
          <t>Average</t>
        </is>
      </c>
      <c r="D12" s="28" t="n">
        <v>0</v>
      </c>
    </row>
    <row r="13">
      <c r="A13" s="27" t="inlineStr">
        <is>
          <t>Total Students Appeared</t>
        </is>
      </c>
      <c r="D13" s="28" t="n">
        <v>0</v>
      </c>
    </row>
    <row r="14">
      <c r="A14" s="27" t="inlineStr">
        <is>
          <t>Absent</t>
        </is>
      </c>
      <c r="D14" s="28" t="n">
        <v>1</v>
      </c>
    </row>
    <row r="15">
      <c r="A15" s="27" t="inlineStr">
        <is>
          <t>% above Avg</t>
        </is>
      </c>
      <c r="D15" s="28" t="inlineStr">
        <is>
          <t>0%</t>
        </is>
      </c>
    </row>
    <row r="16">
      <c r="A16" s="27" t="inlineStr">
        <is>
          <t>CO Attainment</t>
        </is>
      </c>
      <c r="D16" s="28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23611780179</t>
        </is>
      </c>
      <c r="B11" s="14" t="inlineStr">
        <is>
          <t>9</t>
        </is>
      </c>
      <c r="C11" s="26" t="inlineStr">
        <is>
          <t>Vaishnavi</t>
        </is>
      </c>
      <c r="D11" s="8" t="inlineStr">
        <is>
          <t>-</t>
        </is>
      </c>
    </row>
    <row r="12">
      <c r="A12" s="27" t="inlineStr">
        <is>
          <t>Average</t>
        </is>
      </c>
      <c r="D12" s="28" t="n">
        <v>0</v>
      </c>
    </row>
    <row r="13">
      <c r="A13" s="27" t="inlineStr">
        <is>
          <t>Total Students Appeared</t>
        </is>
      </c>
      <c r="D13" s="28" t="n">
        <v>0</v>
      </c>
    </row>
    <row r="14">
      <c r="A14" s="27" t="inlineStr">
        <is>
          <t>Absent</t>
        </is>
      </c>
      <c r="D14" s="28" t="n">
        <v>1</v>
      </c>
    </row>
    <row r="15">
      <c r="A15" s="27" t="inlineStr">
        <is>
          <t>% above Avg</t>
        </is>
      </c>
      <c r="D15" s="28" t="inlineStr">
        <is>
          <t>0%</t>
        </is>
      </c>
    </row>
    <row r="16">
      <c r="A16" s="27" t="inlineStr">
        <is>
          <t>CO Attainment</t>
        </is>
      </c>
      <c r="D16" s="28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Total</t>
        </is>
      </c>
    </row>
    <row r="11">
      <c r="A11" s="14" t="inlineStr">
        <is>
          <t>23611780179</t>
        </is>
      </c>
      <c r="B11" s="14" t="inlineStr">
        <is>
          <t>9</t>
        </is>
      </c>
      <c r="C11" s="26" t="inlineStr">
        <is>
          <t>Vaishnavi</t>
        </is>
      </c>
      <c r="D11" s="8" t="inlineStr">
        <is>
          <t>-</t>
        </is>
      </c>
      <c r="E11" s="8" t="inlineStr">
        <is>
          <t>-</t>
        </is>
      </c>
    </row>
    <row r="12">
      <c r="A12" s="27" t="inlineStr">
        <is>
          <t>Average Rating</t>
        </is>
      </c>
      <c r="D12" s="8">
        <f>IFERROR(ROUND(AVERAGE(D11:D11), 2), 0)</f>
        <v/>
      </c>
    </row>
    <row r="13">
      <c r="A13" s="27" t="inlineStr">
        <is>
          <t>Total Responses</t>
        </is>
      </c>
      <c r="D13" s="8">
        <f>COUNT(D11:D11)</f>
        <v/>
      </c>
    </row>
    <row r="15">
      <c r="B15" s="33" t="inlineStr">
        <is>
          <t>CO attainment through CES</t>
        </is>
      </c>
    </row>
    <row r="16">
      <c r="B16" s="14" t="inlineStr">
        <is>
          <t>Course Outcome</t>
        </is>
      </c>
      <c r="C16" s="14" t="inlineStr">
        <is>
          <t>Avg Rating</t>
        </is>
      </c>
    </row>
    <row r="17">
      <c r="B17" s="14" t="inlineStr">
        <is>
          <t>CO1</t>
        </is>
      </c>
      <c r="C17" s="15" t="n">
        <v>0</v>
      </c>
      <c r="D17" s="14" t="inlineStr"/>
    </row>
  </sheetData>
  <mergeCells count="20">
    <mergeCell ref="C3:M3"/>
    <mergeCell ref="C9:K9"/>
    <mergeCell ref="A12:C12"/>
    <mergeCell ref="A1:B3"/>
    <mergeCell ref="A6:B6"/>
    <mergeCell ref="A7:B7"/>
    <mergeCell ref="C16:D16"/>
    <mergeCell ref="C1:M1"/>
    <mergeCell ref="C8:K8"/>
    <mergeCell ref="B15:D15"/>
    <mergeCell ref="C7:K7"/>
    <mergeCell ref="A13:C13"/>
    <mergeCell ref="A5:B5"/>
    <mergeCell ref="C2:M2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inlineStr"/>
      <c r="F14" s="5" t="inlineStr"/>
      <c r="G14" s="5" t="n">
        <v>1</v>
      </c>
      <c r="H14" s="5" t="n">
        <v>2</v>
      </c>
      <c r="I14" s="5" t="inlineStr"/>
      <c r="J14" s="5" t="n">
        <v>1</v>
      </c>
      <c r="K14" s="5" t="n">
        <v>1</v>
      </c>
      <c r="M14" s="14" t="inlineStr">
        <is>
          <t>CO1</t>
        </is>
      </c>
      <c r="N14" s="14" t="inlineStr">
        <is>
          <t>Identify types of Cyber attacks and threats.</t>
        </is>
      </c>
    </row>
    <row r="15">
      <c r="A15" s="5" t="inlineStr">
        <is>
          <t>Average</t>
        </is>
      </c>
      <c r="B15" s="5" t="n">
        <v>2</v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n">
        <v>1</v>
      </c>
      <c r="H15" s="5" t="n">
        <v>2</v>
      </c>
      <c r="I15" s="5" t="inlineStr">
        <is>
          <t>-</t>
        </is>
      </c>
      <c r="J15" s="5" t="n">
        <v>1</v>
      </c>
      <c r="K15" s="5" t="n">
        <v>1</v>
      </c>
    </row>
    <row r="19">
      <c r="A19" s="37" t="inlineStr">
        <is>
          <t>Direct CO Attainment</t>
        </is>
      </c>
    </row>
    <row r="20">
      <c r="A20" s="38" t="inlineStr">
        <is>
          <t>CO</t>
        </is>
      </c>
      <c r="B20" s="38" t="inlineStr">
        <is>
          <t>Attainment</t>
        </is>
      </c>
    </row>
    <row r="21">
      <c r="A21" s="14" t="inlineStr">
        <is>
          <t>CO1</t>
        </is>
      </c>
      <c r="B21" s="14" t="n">
        <v>0</v>
      </c>
    </row>
    <row r="22">
      <c r="A22" s="39" t="inlineStr">
        <is>
          <t>Average</t>
        </is>
      </c>
      <c r="B22" s="39" t="n">
        <v>0</v>
      </c>
    </row>
    <row r="24">
      <c r="B24" s="37" t="inlineStr">
        <is>
          <t>Direct POs &amp; PSOs Attainment</t>
        </is>
      </c>
    </row>
    <row r="25">
      <c r="B25" s="40" t="inlineStr">
        <is>
          <t>PO 1</t>
        </is>
      </c>
      <c r="C25" s="40" t="inlineStr">
        <is>
          <t>PO 2</t>
        </is>
      </c>
      <c r="D25" s="40" t="inlineStr">
        <is>
          <t>PO 3</t>
        </is>
      </c>
      <c r="E25" s="40" t="inlineStr">
        <is>
          <t>PO 4</t>
        </is>
      </c>
      <c r="F25" s="40" t="inlineStr">
        <is>
          <t>PO 5</t>
        </is>
      </c>
      <c r="G25" s="40" t="inlineStr">
        <is>
          <t>PO 6</t>
        </is>
      </c>
      <c r="H25" s="40" t="inlineStr">
        <is>
          <t>PO 7</t>
        </is>
      </c>
      <c r="I25" s="40" t="inlineStr">
        <is>
          <t>PSO 1</t>
        </is>
      </c>
      <c r="J25" s="40" t="inlineStr">
        <is>
          <t>PSO 2</t>
        </is>
      </c>
      <c r="K25" s="40" t="inlineStr">
        <is>
          <t>PSO 3</t>
        </is>
      </c>
    </row>
    <row r="26">
      <c r="B26" s="40" t="n">
        <v>0</v>
      </c>
      <c r="C26" s="40" t="n">
        <v>0</v>
      </c>
      <c r="D26" s="40" t="n">
        <v>0</v>
      </c>
      <c r="E26" s="40" t="n">
        <v>0</v>
      </c>
      <c r="F26" s="40" t="n">
        <v>0</v>
      </c>
      <c r="G26" s="40" t="n">
        <v>0</v>
      </c>
      <c r="H26" s="40" t="n">
        <v>0</v>
      </c>
      <c r="I26" s="40" t="n">
        <v>0</v>
      </c>
      <c r="J26" s="40" t="n">
        <v>0</v>
      </c>
      <c r="K26" s="40" t="n">
        <v>0</v>
      </c>
    </row>
  </sheetData>
  <mergeCells count="21">
    <mergeCell ref="C3:M3"/>
    <mergeCell ref="C9:K9"/>
    <mergeCell ref="I12:K12"/>
    <mergeCell ref="B24:K24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A19:B1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2026-03-01T19:09:30Z</dcterms:created>
  <dcterms:modified xsi:type="dcterms:W3CDTF">2026-03-01T19:09:30Z</dcterms:modified>
</cp:coreProperties>
</file>