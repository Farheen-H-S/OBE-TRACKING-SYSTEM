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CO301</t>
        </is>
      </c>
      <c r="C13" s="8" t="n">
        <v>1.95</v>
      </c>
      <c r="D13" s="9" t="n">
        <v>3</v>
      </c>
      <c r="E13" s="8" t="n">
        <v>64.89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CO301.1</t>
        </is>
      </c>
      <c r="C13" s="14" t="n">
        <v>2.75</v>
      </c>
      <c r="D13" s="14" t="inlineStr">
        <is>
          <t>-</t>
        </is>
      </c>
      <c r="E13" s="14" t="inlineStr">
        <is>
          <t>-</t>
        </is>
      </c>
      <c r="F13" s="14" t="n">
        <v>1.25</v>
      </c>
      <c r="G13" s="14" t="inlineStr">
        <is>
          <t>-</t>
        </is>
      </c>
      <c r="H13" s="14" t="n">
        <v>2</v>
      </c>
      <c r="J13" s="14" t="n">
        <v>1.25</v>
      </c>
      <c r="K13" s="14" t="inlineStr">
        <is>
          <t>-</t>
        </is>
      </c>
      <c r="L13" s="14" t="n">
        <v>1.25</v>
      </c>
      <c r="N13" s="14" t="n">
        <v>1.55</v>
      </c>
      <c r="O13" s="14" t="n">
        <v>3</v>
      </c>
      <c r="P13" s="14" t="n">
        <v>1.84</v>
      </c>
      <c r="Q13" s="15" t="n">
        <v>3</v>
      </c>
      <c r="R13" s="14" t="n">
        <v>1.16</v>
      </c>
      <c r="S13" s="15" t="n">
        <v>3</v>
      </c>
    </row>
    <row r="14">
      <c r="B14" s="8" t="inlineStr">
        <is>
          <t>CO301.2</t>
        </is>
      </c>
      <c r="C14" s="14" t="n">
        <v>2.5</v>
      </c>
      <c r="D14" s="14" t="inlineStr">
        <is>
          <t>-</t>
        </is>
      </c>
      <c r="E14" s="14" t="n">
        <v>2.5</v>
      </c>
      <c r="F14" s="14" t="n">
        <v>2.5</v>
      </c>
      <c r="G14" s="14" t="inlineStr">
        <is>
          <t>-</t>
        </is>
      </c>
      <c r="H14" s="14" t="n">
        <v>2.5</v>
      </c>
      <c r="J14" s="14" t="n">
        <v>1.25</v>
      </c>
      <c r="K14" s="14" t="inlineStr">
        <is>
          <t>-</t>
        </is>
      </c>
      <c r="L14" s="14" t="n">
        <v>1.25</v>
      </c>
      <c r="N14" s="14" t="n">
        <v>1.75</v>
      </c>
      <c r="O14" s="14" t="n">
        <v>3</v>
      </c>
      <c r="P14" s="14" t="n">
        <v>2</v>
      </c>
      <c r="Q14" s="15" t="n">
        <v>3</v>
      </c>
      <c r="R14" s="14" t="n">
        <v>1</v>
      </c>
      <c r="S14" s="15" t="n">
        <v>3</v>
      </c>
    </row>
    <row r="15">
      <c r="B15" s="8" t="inlineStr">
        <is>
          <t>CO301.3</t>
        </is>
      </c>
      <c r="C15" s="14" t="inlineStr">
        <is>
          <t>-</t>
        </is>
      </c>
      <c r="D15" s="14" t="n">
        <v>2.5</v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n">
        <v>2.5</v>
      </c>
      <c r="J15" s="14" t="n">
        <v>1.25</v>
      </c>
      <c r="K15" s="14" t="inlineStr">
        <is>
          <t>-</t>
        </is>
      </c>
      <c r="L15" s="14" t="n">
        <v>1.25</v>
      </c>
      <c r="N15" s="14" t="n">
        <v>1.75</v>
      </c>
      <c r="O15" s="14" t="n">
        <v>3</v>
      </c>
      <c r="P15" s="14" t="n">
        <v>2</v>
      </c>
      <c r="Q15" s="15" t="n">
        <v>3</v>
      </c>
      <c r="R15" s="14" t="n">
        <v>1</v>
      </c>
      <c r="S15" s="15" t="n">
        <v>3</v>
      </c>
    </row>
    <row r="16">
      <c r="B16" s="16" t="inlineStr">
        <is>
          <t>Attainment of CO</t>
        </is>
      </c>
      <c r="P16" s="17">
        <f>AVERAGE(P13:P15)</f>
        <v/>
      </c>
      <c r="Q16" s="17" t="inlineStr"/>
      <c r="R16" s="17">
        <f>AVERAGE(R13:R15)</f>
        <v/>
      </c>
      <c r="S16" s="17" t="inlineStr"/>
    </row>
    <row r="18">
      <c r="B18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B16:O16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A8:B8"/>
    <mergeCell ref="C6:K6"/>
    <mergeCell ref="A4:B4"/>
    <mergeCell ref="C5:K5"/>
    <mergeCell ref="A9:B9"/>
    <mergeCell ref="C4:K4"/>
    <mergeCell ref="B18:S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1</t>
        </is>
      </c>
      <c r="F13" s="25" t="inlineStr">
        <is>
          <t>1</t>
        </is>
      </c>
      <c r="G13" s="25" t="inlineStr">
        <is>
          <t>1</t>
        </is>
      </c>
      <c r="H13" s="25" t="inlineStr">
        <is>
          <t>1</t>
        </is>
      </c>
      <c r="I13" s="25" t="inlineStr">
        <is>
          <t>1</t>
        </is>
      </c>
      <c r="J13" s="25" t="inlineStr">
        <is>
          <t>2</t>
        </is>
      </c>
      <c r="K13" s="25" t="inlineStr">
        <is>
          <t>2</t>
        </is>
      </c>
      <c r="L13" s="25" t="inlineStr">
        <is>
          <t>2</t>
        </is>
      </c>
      <c r="M13" s="25" t="inlineStr">
        <is>
          <t>1</t>
        </is>
      </c>
      <c r="N13" s="25" t="inlineStr">
        <is>
          <t>1</t>
        </is>
      </c>
      <c r="O13" s="25" t="inlineStr">
        <is>
          <t>1</t>
        </is>
      </c>
      <c r="P13" s="25" t="inlineStr">
        <is>
          <t>1</t>
        </is>
      </c>
      <c r="Q13" s="25" t="inlineStr">
        <is>
          <t>1</t>
        </is>
      </c>
      <c r="R13" s="25" t="inlineStr">
        <is>
          <t>1</t>
        </is>
      </c>
      <c r="S13" s="24" t="n"/>
    </row>
    <row r="14">
      <c r="A14" s="14" t="inlineStr">
        <is>
          <t>23611780178</t>
        </is>
      </c>
      <c r="B14" s="14" t="inlineStr">
        <is>
          <t>08</t>
        </is>
      </c>
      <c r="C14" s="26" t="inlineStr">
        <is>
          <t>Saloni</t>
        </is>
      </c>
      <c r="E14" s="8" t="n">
        <v>1</v>
      </c>
      <c r="F14" s="8" t="inlineStr">
        <is>
          <t>-</t>
        </is>
      </c>
      <c r="G14" s="8" t="n">
        <v>1</v>
      </c>
      <c r="H14" s="8" t="inlineStr"/>
      <c r="I14" s="8" t="n">
        <v>1</v>
      </c>
      <c r="J14" s="8" t="n">
        <v>2</v>
      </c>
      <c r="K14" s="8" t="n">
        <v>1</v>
      </c>
      <c r="L14" s="8" t="inlineStr"/>
      <c r="M14" s="8" t="n">
        <v>3</v>
      </c>
      <c r="N14" s="8" t="inlineStr">
        <is>
          <t>-</t>
        </is>
      </c>
      <c r="O14" s="8" t="n">
        <v>3</v>
      </c>
      <c r="P14" s="8" t="n">
        <v>4</v>
      </c>
      <c r="Q14" s="8" t="n">
        <v>3</v>
      </c>
      <c r="R14" s="8" t="n">
        <v>4</v>
      </c>
      <c r="S14" s="8" t="n">
        <v>23</v>
      </c>
    </row>
    <row r="15">
      <c r="A15" s="14" t="inlineStr">
        <is>
          <t>23611780186</t>
        </is>
      </c>
      <c r="B15" s="14" t="inlineStr">
        <is>
          <t>16</t>
        </is>
      </c>
      <c r="C15" s="26" t="inlineStr">
        <is>
          <t>Farheen</t>
        </is>
      </c>
      <c r="E15" s="8" t="n">
        <v>2</v>
      </c>
      <c r="F15" s="8" t="n">
        <v>1</v>
      </c>
      <c r="G15" s="8" t="inlineStr">
        <is>
          <t>-</t>
        </is>
      </c>
      <c r="H15" s="8" t="n">
        <v>1</v>
      </c>
      <c r="I15" s="8" t="inlineStr">
        <is>
          <t>-</t>
        </is>
      </c>
      <c r="J15" s="8" t="n">
        <v>1</v>
      </c>
      <c r="K15" s="8" t="inlineStr">
        <is>
          <t>-</t>
        </is>
      </c>
      <c r="L15" s="8" t="n">
        <v>3</v>
      </c>
      <c r="M15" s="8" t="inlineStr">
        <is>
          <t>-</t>
        </is>
      </c>
      <c r="N15" s="8" t="n">
        <v>3</v>
      </c>
      <c r="O15" s="8" t="inlineStr">
        <is>
          <t>-</t>
        </is>
      </c>
      <c r="P15" s="8" t="n">
        <v>3</v>
      </c>
      <c r="Q15" s="8" t="inlineStr">
        <is>
          <t>-</t>
        </is>
      </c>
      <c r="R15" s="8" t="n">
        <v>3</v>
      </c>
      <c r="S15" s="8" t="n">
        <v>17</v>
      </c>
    </row>
    <row r="16">
      <c r="A16" s="14" t="inlineStr">
        <is>
          <t>23611780237</t>
        </is>
      </c>
      <c r="B16" s="14" t="inlineStr">
        <is>
          <t>61</t>
        </is>
      </c>
      <c r="C16" s="26" t="inlineStr">
        <is>
          <t>Gayatri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27" t="inlineStr">
        <is>
          <t>Average</t>
        </is>
      </c>
      <c r="E17" s="8">
        <f>IFERROR(ROUND(AVERAGE(E14:E16), 2), 0)</f>
        <v/>
      </c>
      <c r="F17" s="8">
        <f>IFERROR(ROUND(AVERAGE(F14:F16), 2), 0)</f>
        <v/>
      </c>
      <c r="G17" s="8">
        <f>IFERROR(ROUND(AVERAGE(G14:G16), 2), 0)</f>
        <v/>
      </c>
      <c r="H17" s="8">
        <f>IFERROR(ROUND(AVERAGE(H14:H16), 2), 0)</f>
        <v/>
      </c>
      <c r="I17" s="8">
        <f>IFERROR(ROUND(AVERAGE(I14:I16), 2), 0)</f>
        <v/>
      </c>
      <c r="J17" s="8">
        <f>IFERROR(ROUND(AVERAGE(J14:J16), 2), 0)</f>
        <v/>
      </c>
      <c r="K17" s="8">
        <f>IFERROR(ROUND(AVERAGE(K14:K16), 2), 0)</f>
        <v/>
      </c>
      <c r="L17" s="8">
        <f>IFERROR(ROUND(AVERAGE(L14:L16), 2), 0)</f>
        <v/>
      </c>
      <c r="M17" s="8">
        <f>IFERROR(ROUND(AVERAGE(M14:M16), 2), 0)</f>
        <v/>
      </c>
      <c r="N17" s="8">
        <f>IFERROR(ROUND(AVERAGE(N14:N16), 2), 0)</f>
        <v/>
      </c>
      <c r="O17" s="8">
        <f>IFERROR(ROUND(AVERAGE(O14:O16), 2), 0)</f>
        <v/>
      </c>
      <c r="P17" s="8">
        <f>IFERROR(ROUND(AVERAGE(P14:P16), 2), 0)</f>
        <v/>
      </c>
      <c r="Q17" s="8">
        <f>IFERROR(ROUND(AVERAGE(Q14:Q16), 2), 0)</f>
        <v/>
      </c>
      <c r="R17" s="8">
        <f>IFERROR(ROUND(AVERAGE(R14:R16), 2), 0)</f>
        <v/>
      </c>
      <c r="S17" s="28">
        <f>IFERROR(ROUND(AVERAGE(S14:S16), 2), 0)</f>
        <v/>
      </c>
    </row>
    <row r="18">
      <c r="A18" s="27" t="inlineStr">
        <is>
          <t>Total Appeared</t>
        </is>
      </c>
      <c r="E18" s="8">
        <f>COUNT(E14:E16)</f>
        <v/>
      </c>
      <c r="F18" s="8">
        <f>COUNT(F14:F16)</f>
        <v/>
      </c>
      <c r="G18" s="8">
        <f>COUNT(G14:G16)</f>
        <v/>
      </c>
      <c r="H18" s="8">
        <f>COUNT(H14:H16)</f>
        <v/>
      </c>
      <c r="I18" s="8">
        <f>COUNT(I14:I16)</f>
        <v/>
      </c>
      <c r="J18" s="8">
        <f>COUNT(J14:J16)</f>
        <v/>
      </c>
      <c r="K18" s="8">
        <f>COUNT(K14:K16)</f>
        <v/>
      </c>
      <c r="L18" s="8">
        <f>COUNT(L14:L16)</f>
        <v/>
      </c>
      <c r="M18" s="8">
        <f>COUNT(M14:M16)</f>
        <v/>
      </c>
      <c r="N18" s="8">
        <f>COUNT(N14:N16)</f>
        <v/>
      </c>
      <c r="O18" s="8">
        <f>COUNT(O14:O16)</f>
        <v/>
      </c>
      <c r="P18" s="8">
        <f>COUNT(P14:P16)</f>
        <v/>
      </c>
      <c r="Q18" s="8">
        <f>COUNT(Q14:Q16)</f>
        <v/>
      </c>
      <c r="R18" s="8">
        <f>COUNT(R14:R16)</f>
        <v/>
      </c>
      <c r="S18" s="28">
        <f>COUNT(S14:S16)</f>
        <v/>
      </c>
    </row>
    <row r="19">
      <c r="A19" s="27" t="inlineStr">
        <is>
          <t>% above Avg</t>
        </is>
      </c>
      <c r="E19" s="8">
        <f>IF(COUNT(E14:E16)&gt;0, ROUND(COUNTIF(E14:E16, "&gt;="&amp;E17) / COUNT(E14:E16) * 100, 2) &amp; "%", "0%")</f>
        <v/>
      </c>
      <c r="F19" s="8">
        <f>IF(COUNT(F14:F16)&gt;0, ROUND(COUNTIF(F14:F16, "&gt;="&amp;F17) / COUNT(F14:F16) * 100, 2) &amp; "%", "0%")</f>
        <v/>
      </c>
      <c r="G19" s="8">
        <f>IF(COUNT(G14:G16)&gt;0, ROUND(COUNTIF(G14:G16, "&gt;="&amp;G17) / COUNT(G14:G16) * 100, 2) &amp; "%", "0%")</f>
        <v/>
      </c>
      <c r="H19" s="8">
        <f>IF(COUNT(H14:H16)&gt;0, ROUND(COUNTIF(H14:H16, "&gt;="&amp;H17) / COUNT(H14:H16) * 100, 2) &amp; "%", "0%")</f>
        <v/>
      </c>
      <c r="I19" s="8">
        <f>IF(COUNT(I14:I16)&gt;0, ROUND(COUNTIF(I14:I16, "&gt;="&amp;I17) / COUNT(I14:I16) * 100, 2) &amp; "%", "0%")</f>
        <v/>
      </c>
      <c r="J19" s="8">
        <f>IF(COUNT(J14:J16)&gt;0, ROUND(COUNTIF(J14:J16, "&gt;="&amp;J17) / COUNT(J14:J16) * 100, 2) &amp; "%", "0%")</f>
        <v/>
      </c>
      <c r="K19" s="8">
        <f>IF(COUNT(K14:K16)&gt;0, ROUND(COUNTIF(K14:K16, "&gt;="&amp;K17) / COUNT(K14:K16) * 100, 2) &amp; "%", "0%")</f>
        <v/>
      </c>
      <c r="L19" s="8">
        <f>IF(COUNT(L14:L16)&gt;0, ROUND(COUNTIF(L14:L16, "&gt;="&amp;L17) / COUNT(L14:L16) * 100, 2) &amp; "%", "0%")</f>
        <v/>
      </c>
      <c r="M19" s="8">
        <f>IF(COUNT(M14:M16)&gt;0, ROUND(COUNTIF(M14:M16, "&gt;="&amp;M17) / COUNT(M14:M16) * 100, 2) &amp; "%", "0%")</f>
        <v/>
      </c>
      <c r="N19" s="8">
        <f>IF(COUNT(N14:N16)&gt;0, ROUND(COUNTIF(N14:N16, "&gt;="&amp;N17) / COUNT(N14:N16) * 100, 2) &amp; "%", "0%")</f>
        <v/>
      </c>
      <c r="O19" s="8">
        <f>IF(COUNT(O14:O16)&gt;0, ROUND(COUNTIF(O14:O16, "&gt;="&amp;O17) / COUNT(O14:O16) * 100, 2) &amp; "%", "0%")</f>
        <v/>
      </c>
      <c r="P19" s="8">
        <f>IF(COUNT(P14:P16)&gt;0, ROUND(COUNTIF(P14:P16, "&gt;="&amp;P17) / COUNT(P14:P16) * 100, 2) &amp; "%", "0%")</f>
        <v/>
      </c>
      <c r="Q19" s="8">
        <f>IF(COUNT(Q14:Q16)&gt;0, ROUND(COUNTIF(Q14:Q16, "&gt;="&amp;Q17) / COUNT(Q14:Q16) * 100, 2) &amp; "%", "0%")</f>
        <v/>
      </c>
      <c r="R19" s="8">
        <f>IF(COUNT(R14:R16)&gt;0, ROUND(COUNTIF(R14:R16, "&gt;="&amp;R17) / COUNT(R14:R16) * 100, 2) &amp; "%", "0%")</f>
        <v/>
      </c>
      <c r="S19" s="28">
        <f>IF(COUNT(S14:S16)&gt;0, ROUND(COUNTIF(S14:S16, "&gt;="&amp;S17) / COUNT(S14:S16) * 100, 2) &amp; "%", "0%")</f>
        <v/>
      </c>
    </row>
    <row r="20">
      <c r="A20" s="27" t="inlineStr">
        <is>
          <t>CO Attainment</t>
        </is>
      </c>
      <c r="E20" s="8" t="n">
        <v>1.25</v>
      </c>
      <c r="F20" s="8" t="n">
        <v>3</v>
      </c>
      <c r="G20" s="8" t="n">
        <v>3</v>
      </c>
      <c r="H20" s="8" t="n">
        <v>3</v>
      </c>
      <c r="I20" s="8" t="n">
        <v>3</v>
      </c>
      <c r="J20" s="8" t="n">
        <v>1.25</v>
      </c>
      <c r="K20" s="8" t="n">
        <v>3</v>
      </c>
      <c r="L20" s="8" t="n">
        <v>3</v>
      </c>
      <c r="M20" s="8" t="n">
        <v>3</v>
      </c>
      <c r="N20" s="8" t="n">
        <v>3</v>
      </c>
      <c r="O20" s="8" t="n">
        <v>3</v>
      </c>
      <c r="P20" s="8" t="n">
        <v>1.25</v>
      </c>
      <c r="Q20" s="8" t="n">
        <v>3</v>
      </c>
      <c r="R20" s="8" t="n">
        <v>1.25</v>
      </c>
      <c r="S20" s="28" t="n">
        <v>1.25</v>
      </c>
    </row>
    <row r="22">
      <c r="B22" s="29" t="inlineStr">
        <is>
          <t>CO attainment through FA-TH</t>
        </is>
      </c>
    </row>
    <row r="23">
      <c r="B23" s="30" t="inlineStr">
        <is>
          <t>% CO Attained</t>
        </is>
      </c>
      <c r="C23" s="30" t="inlineStr">
        <is>
          <t>CO attainment</t>
        </is>
      </c>
    </row>
    <row r="24">
      <c r="B24" s="8" t="inlineStr">
        <is>
          <t>CO1</t>
        </is>
      </c>
      <c r="C24" s="9" t="n">
        <v>57.14</v>
      </c>
      <c r="D24" s="8" t="n">
        <v>1.75</v>
      </c>
    </row>
    <row r="25">
      <c r="B25" s="8" t="inlineStr">
        <is>
          <t>CO2</t>
        </is>
      </c>
      <c r="C25" s="9" t="n">
        <v>50</v>
      </c>
      <c r="D25" s="8" t="n">
        <v>1.25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A20:C20"/>
    <mergeCell ref="C7:K7"/>
    <mergeCell ref="A19:C19"/>
    <mergeCell ref="A5:B5"/>
    <mergeCell ref="A11:A13"/>
    <mergeCell ref="C2:M2"/>
    <mergeCell ref="B11:B13"/>
    <mergeCell ref="S11:S13"/>
    <mergeCell ref="A8:B8"/>
    <mergeCell ref="C23:D23"/>
    <mergeCell ref="C6:K6"/>
    <mergeCell ref="A4:B4"/>
    <mergeCell ref="C5:K5"/>
    <mergeCell ref="B22:D22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3</t>
        </is>
      </c>
      <c r="F13" s="25" t="inlineStr">
        <is>
          <t>3</t>
        </is>
      </c>
      <c r="G13" s="25" t="inlineStr">
        <is>
          <t>3</t>
        </is>
      </c>
      <c r="H13" s="25" t="inlineStr">
        <is>
          <t>3</t>
        </is>
      </c>
      <c r="I13" s="25" t="inlineStr">
        <is>
          <t>3</t>
        </is>
      </c>
      <c r="J13" s="25" t="inlineStr">
        <is>
          <t>3</t>
        </is>
      </c>
      <c r="K13" s="25" t="inlineStr">
        <is>
          <t>3</t>
        </is>
      </c>
      <c r="L13" s="25" t="inlineStr">
        <is>
          <t>3</t>
        </is>
      </c>
      <c r="M13" s="25" t="inlineStr">
        <is>
          <t>3</t>
        </is>
      </c>
      <c r="N13" s="25" t="inlineStr">
        <is>
          <t>3</t>
        </is>
      </c>
      <c r="O13" s="25" t="inlineStr">
        <is>
          <t>3</t>
        </is>
      </c>
      <c r="P13" s="25" t="inlineStr">
        <is>
          <t>3</t>
        </is>
      </c>
      <c r="Q13" s="25" t="inlineStr">
        <is>
          <t>3</t>
        </is>
      </c>
      <c r="R13" s="25" t="inlineStr">
        <is>
          <t>3</t>
        </is>
      </c>
      <c r="S13" s="24" t="n"/>
    </row>
    <row r="14">
      <c r="A14" s="14" t="inlineStr">
        <is>
          <t>23611780178</t>
        </is>
      </c>
      <c r="B14" s="14" t="inlineStr">
        <is>
          <t>08</t>
        </is>
      </c>
      <c r="C14" s="26" t="inlineStr">
        <is>
          <t>Saloni</t>
        </is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4</v>
      </c>
      <c r="M14" s="8" t="n">
        <v>4</v>
      </c>
      <c r="N14" s="8" t="n">
        <v>4</v>
      </c>
      <c r="O14" s="8" t="n">
        <v>4</v>
      </c>
      <c r="P14" s="8" t="n">
        <v>4</v>
      </c>
      <c r="Q14" s="8" t="n">
        <v>4</v>
      </c>
      <c r="R14" s="8" t="n">
        <v>4</v>
      </c>
      <c r="S14" s="8" t="n">
        <v>30</v>
      </c>
    </row>
    <row r="15">
      <c r="A15" s="14" t="inlineStr">
        <is>
          <t>23611780186</t>
        </is>
      </c>
      <c r="B15" s="14" t="inlineStr">
        <is>
          <t>16</t>
        </is>
      </c>
      <c r="C15" s="26" t="inlineStr">
        <is>
          <t>Farheen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2</v>
      </c>
      <c r="K15" s="8" t="n">
        <v>2</v>
      </c>
      <c r="L15" s="8" t="n">
        <v>3</v>
      </c>
      <c r="M15" s="8" t="n">
        <v>3</v>
      </c>
      <c r="N15" s="8" t="n">
        <v>3</v>
      </c>
      <c r="O15" s="8" t="n">
        <v>3</v>
      </c>
      <c r="P15" s="8" t="n">
        <v>3</v>
      </c>
      <c r="Q15" s="8" t="n">
        <v>3</v>
      </c>
      <c r="R15" s="8" t="n">
        <v>3</v>
      </c>
      <c r="S15" s="8" t="n">
        <v>25</v>
      </c>
    </row>
    <row r="16">
      <c r="A16" s="14" t="inlineStr">
        <is>
          <t>23611780237</t>
        </is>
      </c>
      <c r="B16" s="14" t="inlineStr">
        <is>
          <t>61</t>
        </is>
      </c>
      <c r="C16" s="26" t="inlineStr">
        <is>
          <t>Gayatri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27" t="inlineStr">
        <is>
          <t>Average</t>
        </is>
      </c>
      <c r="E17" s="8">
        <f>IFERROR(ROUND(AVERAGE(E14:E16), 2), 0)</f>
        <v/>
      </c>
      <c r="F17" s="8">
        <f>IFERROR(ROUND(AVERAGE(F14:F16), 2), 0)</f>
        <v/>
      </c>
      <c r="G17" s="8">
        <f>IFERROR(ROUND(AVERAGE(G14:G16), 2), 0)</f>
        <v/>
      </c>
      <c r="H17" s="8">
        <f>IFERROR(ROUND(AVERAGE(H14:H16), 2), 0)</f>
        <v/>
      </c>
      <c r="I17" s="8">
        <f>IFERROR(ROUND(AVERAGE(I14:I16), 2), 0)</f>
        <v/>
      </c>
      <c r="J17" s="8">
        <f>IFERROR(ROUND(AVERAGE(J14:J16), 2), 0)</f>
        <v/>
      </c>
      <c r="K17" s="8">
        <f>IFERROR(ROUND(AVERAGE(K14:K16), 2), 0)</f>
        <v/>
      </c>
      <c r="L17" s="8">
        <f>IFERROR(ROUND(AVERAGE(L14:L16), 2), 0)</f>
        <v/>
      </c>
      <c r="M17" s="8">
        <f>IFERROR(ROUND(AVERAGE(M14:M16), 2), 0)</f>
        <v/>
      </c>
      <c r="N17" s="8">
        <f>IFERROR(ROUND(AVERAGE(N14:N16), 2), 0)</f>
        <v/>
      </c>
      <c r="O17" s="8">
        <f>IFERROR(ROUND(AVERAGE(O14:O16), 2), 0)</f>
        <v/>
      </c>
      <c r="P17" s="8">
        <f>IFERROR(ROUND(AVERAGE(P14:P16), 2), 0)</f>
        <v/>
      </c>
      <c r="Q17" s="8">
        <f>IFERROR(ROUND(AVERAGE(Q14:Q16), 2), 0)</f>
        <v/>
      </c>
      <c r="R17" s="8">
        <f>IFERROR(ROUND(AVERAGE(R14:R16), 2), 0)</f>
        <v/>
      </c>
      <c r="S17" s="28">
        <f>IFERROR(ROUND(AVERAGE(S14:S16), 2), 0)</f>
        <v/>
      </c>
    </row>
    <row r="18">
      <c r="A18" s="27" t="inlineStr">
        <is>
          <t>Total Appeared</t>
        </is>
      </c>
      <c r="E18" s="8">
        <f>COUNT(E14:E16)</f>
        <v/>
      </c>
      <c r="F18" s="8">
        <f>COUNT(F14:F16)</f>
        <v/>
      </c>
      <c r="G18" s="8">
        <f>COUNT(G14:G16)</f>
        <v/>
      </c>
      <c r="H18" s="8">
        <f>COUNT(H14:H16)</f>
        <v/>
      </c>
      <c r="I18" s="8">
        <f>COUNT(I14:I16)</f>
        <v/>
      </c>
      <c r="J18" s="8">
        <f>COUNT(J14:J16)</f>
        <v/>
      </c>
      <c r="K18" s="8">
        <f>COUNT(K14:K16)</f>
        <v/>
      </c>
      <c r="L18" s="8">
        <f>COUNT(L14:L16)</f>
        <v/>
      </c>
      <c r="M18" s="8">
        <f>COUNT(M14:M16)</f>
        <v/>
      </c>
      <c r="N18" s="8">
        <f>COUNT(N14:N16)</f>
        <v/>
      </c>
      <c r="O18" s="8">
        <f>COUNT(O14:O16)</f>
        <v/>
      </c>
      <c r="P18" s="8">
        <f>COUNT(P14:P16)</f>
        <v/>
      </c>
      <c r="Q18" s="8">
        <f>COUNT(Q14:Q16)</f>
        <v/>
      </c>
      <c r="R18" s="8">
        <f>COUNT(R14:R16)</f>
        <v/>
      </c>
      <c r="S18" s="28">
        <f>COUNT(S14:S16)</f>
        <v/>
      </c>
    </row>
    <row r="19">
      <c r="A19" s="27" t="inlineStr">
        <is>
          <t>% above Avg</t>
        </is>
      </c>
      <c r="E19" s="8">
        <f>IF(COUNT(E14:E16)&gt;0, ROUND(COUNTIF(E14:E16, "&gt;="&amp;E17) / COUNT(E14:E16) * 100, 2) &amp; "%", "0%")</f>
        <v/>
      </c>
      <c r="F19" s="8">
        <f>IF(COUNT(F14:F16)&gt;0, ROUND(COUNTIF(F14:F16, "&gt;="&amp;F17) / COUNT(F14:F16) * 100, 2) &amp; "%", "0%")</f>
        <v/>
      </c>
      <c r="G19" s="8">
        <f>IF(COUNT(G14:G16)&gt;0, ROUND(COUNTIF(G14:G16, "&gt;="&amp;G17) / COUNT(G14:G16) * 100, 2) &amp; "%", "0%")</f>
        <v/>
      </c>
      <c r="H19" s="8">
        <f>IF(COUNT(H14:H16)&gt;0, ROUND(COUNTIF(H14:H16, "&gt;="&amp;H17) / COUNT(H14:H16) * 100, 2) &amp; "%", "0%")</f>
        <v/>
      </c>
      <c r="I19" s="8">
        <f>IF(COUNT(I14:I16)&gt;0, ROUND(COUNTIF(I14:I16, "&gt;="&amp;I17) / COUNT(I14:I16) * 100, 2) &amp; "%", "0%")</f>
        <v/>
      </c>
      <c r="J19" s="8">
        <f>IF(COUNT(J14:J16)&gt;0, ROUND(COUNTIF(J14:J16, "&gt;="&amp;J17) / COUNT(J14:J16) * 100, 2) &amp; "%", "0%")</f>
        <v/>
      </c>
      <c r="K19" s="8">
        <f>IF(COUNT(K14:K16)&gt;0, ROUND(COUNTIF(K14:K16, "&gt;="&amp;K17) / COUNT(K14:K16) * 100, 2) &amp; "%", "0%")</f>
        <v/>
      </c>
      <c r="L19" s="8">
        <f>IF(COUNT(L14:L16)&gt;0, ROUND(COUNTIF(L14:L16, "&gt;="&amp;L17) / COUNT(L14:L16) * 100, 2) &amp; "%", "0%")</f>
        <v/>
      </c>
      <c r="M19" s="8">
        <f>IF(COUNT(M14:M16)&gt;0, ROUND(COUNTIF(M14:M16, "&gt;="&amp;M17) / COUNT(M14:M16) * 100, 2) &amp; "%", "0%")</f>
        <v/>
      </c>
      <c r="N19" s="8">
        <f>IF(COUNT(N14:N16)&gt;0, ROUND(COUNTIF(N14:N16, "&gt;="&amp;N17) / COUNT(N14:N16) * 100, 2) &amp; "%", "0%")</f>
        <v/>
      </c>
      <c r="O19" s="8">
        <f>IF(COUNT(O14:O16)&gt;0, ROUND(COUNTIF(O14:O16, "&gt;="&amp;O17) / COUNT(O14:O16) * 100, 2) &amp; "%", "0%")</f>
        <v/>
      </c>
      <c r="P19" s="8">
        <f>IF(COUNT(P14:P16)&gt;0, ROUND(COUNTIF(P14:P16, "&gt;="&amp;P17) / COUNT(P14:P16) * 100, 2) &amp; "%", "0%")</f>
        <v/>
      </c>
      <c r="Q19" s="8">
        <f>IF(COUNT(Q14:Q16)&gt;0, ROUND(COUNTIF(Q14:Q16, "&gt;="&amp;Q17) / COUNT(Q14:Q16) * 100, 2) &amp; "%", "0%")</f>
        <v/>
      </c>
      <c r="R19" s="8">
        <f>IF(COUNT(R14:R16)&gt;0, ROUND(COUNTIF(R14:R16, "&gt;="&amp;R17) / COUNT(R14:R16) * 100, 2) &amp; "%", "0%")</f>
        <v/>
      </c>
      <c r="S19" s="28">
        <f>IF(COUNT(S14:S16)&gt;0, ROUND(COUNTIF(S14:S16, "&gt;="&amp;S17) / COUNT(S14:S16) * 100, 2) &amp; "%", "0%")</f>
        <v/>
      </c>
    </row>
    <row r="20">
      <c r="A20" s="27" t="inlineStr">
        <is>
          <t>CO Attainment</t>
        </is>
      </c>
      <c r="E20" s="8" t="n">
        <v>3</v>
      </c>
      <c r="F20" s="8" t="n">
        <v>3</v>
      </c>
      <c r="G20" s="8" t="n">
        <v>3</v>
      </c>
      <c r="H20" s="8" t="n">
        <v>3</v>
      </c>
      <c r="I20" s="8" t="n">
        <v>3</v>
      </c>
      <c r="J20" s="8" t="n">
        <v>3</v>
      </c>
      <c r="K20" s="8" t="n">
        <v>3</v>
      </c>
      <c r="L20" s="8" t="n">
        <v>1.25</v>
      </c>
      <c r="M20" s="8" t="n">
        <v>1.25</v>
      </c>
      <c r="N20" s="8" t="n">
        <v>1.25</v>
      </c>
      <c r="O20" s="8" t="n">
        <v>1.25</v>
      </c>
      <c r="P20" s="8" t="n">
        <v>1.25</v>
      </c>
      <c r="Q20" s="8" t="n">
        <v>1.25</v>
      </c>
      <c r="R20" s="8" t="n">
        <v>1.25</v>
      </c>
      <c r="S20" s="28" t="n">
        <v>1.25</v>
      </c>
    </row>
    <row r="22">
      <c r="B22" s="29" t="inlineStr">
        <is>
          <t>CO attainment through FA-TH</t>
        </is>
      </c>
    </row>
    <row r="23">
      <c r="B23" s="30" t="inlineStr">
        <is>
          <t>% CO Attained</t>
        </is>
      </c>
      <c r="C23" s="30" t="inlineStr">
        <is>
          <t>CO attainment</t>
        </is>
      </c>
    </row>
    <row r="24">
      <c r="B24" s="8" t="inlineStr">
        <is>
          <t>CO3</t>
        </is>
      </c>
      <c r="C24" s="9" t="n">
        <v>50</v>
      </c>
      <c r="D24" s="8" t="n">
        <v>1.25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A20:C20"/>
    <mergeCell ref="C7:K7"/>
    <mergeCell ref="A19:C19"/>
    <mergeCell ref="A5:B5"/>
    <mergeCell ref="A11:A13"/>
    <mergeCell ref="C2:M2"/>
    <mergeCell ref="B11:B13"/>
    <mergeCell ref="S11:S13"/>
    <mergeCell ref="A8:B8"/>
    <mergeCell ref="C23:D23"/>
    <mergeCell ref="C6:K6"/>
    <mergeCell ref="A4:B4"/>
    <mergeCell ref="C5:K5"/>
    <mergeCell ref="B22:D22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1</t>
        </is>
      </c>
      <c r="F13" s="32" t="inlineStr">
        <is>
          <t>1</t>
        </is>
      </c>
      <c r="G13" s="32" t="inlineStr">
        <is>
          <t>1</t>
        </is>
      </c>
      <c r="H13" s="32" t="inlineStr">
        <is>
          <t>2</t>
        </is>
      </c>
      <c r="I13" s="32" t="inlineStr">
        <is>
          <t>2</t>
        </is>
      </c>
      <c r="J13" s="24" t="n"/>
    </row>
    <row r="14">
      <c r="A14" s="14" t="inlineStr">
        <is>
          <t>23611780178</t>
        </is>
      </c>
      <c r="B14" s="14" t="inlineStr">
        <is>
          <t>08</t>
        </is>
      </c>
      <c r="C14" s="26" t="inlineStr">
        <is>
          <t>Saloni</t>
        </is>
      </c>
      <c r="E14" s="8" t="n">
        <v>45</v>
      </c>
      <c r="F14" s="8" t="n">
        <v>34</v>
      </c>
      <c r="G14" s="8" t="n">
        <v>34</v>
      </c>
      <c r="H14" s="8" t="n">
        <v>43</v>
      </c>
      <c r="I14" s="8" t="n">
        <v>34</v>
      </c>
      <c r="J14" s="8" t="n">
        <v>38</v>
      </c>
    </row>
    <row r="15">
      <c r="A15" s="14" t="inlineStr">
        <is>
          <t>23611780186</t>
        </is>
      </c>
      <c r="B15" s="14" t="inlineStr">
        <is>
          <t>16</t>
        </is>
      </c>
      <c r="C15" s="26" t="inlineStr">
        <is>
          <t>Farheen</t>
        </is>
      </c>
      <c r="E15" s="8" t="n">
        <v>23</v>
      </c>
      <c r="F15" s="8" t="n">
        <v>42</v>
      </c>
      <c r="G15" s="8" t="n">
        <v>43</v>
      </c>
      <c r="H15" s="8" t="n">
        <v>43</v>
      </c>
      <c r="I15" s="8" t="n">
        <v>23</v>
      </c>
      <c r="J15" s="8" t="n">
        <v>34.8</v>
      </c>
    </row>
    <row r="16">
      <c r="A16" s="14" t="inlineStr">
        <is>
          <t>23611780237</t>
        </is>
      </c>
      <c r="B16" s="14" t="inlineStr">
        <is>
          <t>61</t>
        </is>
      </c>
      <c r="C16" s="26" t="inlineStr">
        <is>
          <t>Gayatri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27" t="inlineStr">
        <is>
          <t>Average</t>
        </is>
      </c>
      <c r="E17" s="8">
        <f>IFERROR(ROUND(AVERAGE(E14:E16), 2), 0)</f>
        <v/>
      </c>
      <c r="F17" s="8">
        <f>IFERROR(ROUND(AVERAGE(F14:F16), 2), 0)</f>
        <v/>
      </c>
      <c r="G17" s="8">
        <f>IFERROR(ROUND(AVERAGE(G14:G16), 2), 0)</f>
        <v/>
      </c>
      <c r="H17" s="8">
        <f>IFERROR(ROUND(AVERAGE(H14:H16), 2), 0)</f>
        <v/>
      </c>
      <c r="I17" s="8">
        <f>IFERROR(ROUND(AVERAGE(I14:I16), 2), 0)</f>
        <v/>
      </c>
      <c r="J17" s="28">
        <f>IFERROR(ROUND(AVERAGE(J14:J16), 2), 0)</f>
        <v/>
      </c>
    </row>
    <row r="18">
      <c r="A18" s="27" t="inlineStr">
        <is>
          <t>Total Appeared</t>
        </is>
      </c>
      <c r="E18" s="8">
        <f>COUNT(E14:E16)</f>
        <v/>
      </c>
      <c r="F18" s="8">
        <f>COUNT(F14:F16)</f>
        <v/>
      </c>
      <c r="G18" s="8">
        <f>COUNT(G14:G16)</f>
        <v/>
      </c>
      <c r="H18" s="8">
        <f>COUNT(H14:H16)</f>
        <v/>
      </c>
      <c r="I18" s="8">
        <f>COUNT(I14:I16)</f>
        <v/>
      </c>
      <c r="J18" s="28">
        <f>COUNT(J14:J16)</f>
        <v/>
      </c>
    </row>
    <row r="19">
      <c r="A19" s="27" t="inlineStr">
        <is>
          <t>% above Avg</t>
        </is>
      </c>
      <c r="E19" s="8">
        <f>IF(COUNT(E14:E16)&gt;0, ROUND(COUNTIF(E14:E16, "&gt;="&amp;E17) / COUNT(E14:E16) * 100, 2) &amp; "%", "0%")</f>
        <v/>
      </c>
      <c r="F19" s="8">
        <f>IF(COUNT(F14:F16)&gt;0, ROUND(COUNTIF(F14:F16, "&gt;="&amp;F17) / COUNT(F14:F16) * 100, 2) &amp; "%", "0%")</f>
        <v/>
      </c>
      <c r="G19" s="8">
        <f>IF(COUNT(G14:G16)&gt;0, ROUND(COUNTIF(G14:G16, "&gt;="&amp;G17) / COUNT(G14:G16) * 100, 2) &amp; "%", "0%")</f>
        <v/>
      </c>
      <c r="H19" s="8">
        <f>IF(COUNT(H14:H16)&gt;0, ROUND(COUNTIF(H14:H16, "&gt;="&amp;H17) / COUNT(H14:H16) * 100, 2) &amp; "%", "0%")</f>
        <v/>
      </c>
      <c r="I19" s="8">
        <f>IF(COUNT(I14:I16)&gt;0, ROUND(COUNTIF(I14:I16, "&gt;="&amp;I17) / COUNT(I14:I16) * 100, 2) &amp; "%", "0%")</f>
        <v/>
      </c>
      <c r="J19" s="28">
        <f>IF(COUNT(J14:J16)&gt;0, ROUND(COUNTIF(J14:J16, "&gt;="&amp;J17) / COUNT(J14:J16) * 100, 2) &amp; "%", "0%")</f>
        <v/>
      </c>
    </row>
    <row r="20">
      <c r="A20" s="27" t="inlineStr">
        <is>
          <t>CO Attainment</t>
        </is>
      </c>
      <c r="E20" s="8" t="n">
        <v>1.25</v>
      </c>
      <c r="F20" s="8" t="n">
        <v>1.25</v>
      </c>
      <c r="G20" s="8" t="n">
        <v>1.25</v>
      </c>
      <c r="H20" s="8" t="n">
        <v>3</v>
      </c>
      <c r="I20" s="8" t="n">
        <v>1.25</v>
      </c>
      <c r="J20" s="28" t="n">
        <v>1.25</v>
      </c>
    </row>
    <row r="22">
      <c r="B22" s="29" t="inlineStr">
        <is>
          <t>CO attainment through FA-PR</t>
        </is>
      </c>
    </row>
    <row r="23">
      <c r="B23" s="30" t="inlineStr">
        <is>
          <t>% CO Attained</t>
        </is>
      </c>
      <c r="C23" s="30" t="inlineStr">
        <is>
          <t>CO attainment</t>
        </is>
      </c>
    </row>
    <row r="24">
      <c r="B24" s="8" t="inlineStr">
        <is>
          <t>CO1</t>
        </is>
      </c>
      <c r="C24" s="9" t="n">
        <v>50</v>
      </c>
      <c r="D24" s="8" t="n">
        <v>1.25</v>
      </c>
    </row>
    <row r="25">
      <c r="B25" s="8" t="inlineStr">
        <is>
          <t>CO2</t>
        </is>
      </c>
      <c r="C25" s="9" t="n">
        <v>50</v>
      </c>
      <c r="D25" s="8" t="n">
        <v>1.25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8:K8"/>
    <mergeCell ref="A20:C20"/>
    <mergeCell ref="C7:K7"/>
    <mergeCell ref="A19:C19"/>
    <mergeCell ref="A5:B5"/>
    <mergeCell ref="A11:A13"/>
    <mergeCell ref="C2:M2"/>
    <mergeCell ref="B11:B13"/>
    <mergeCell ref="A8:B8"/>
    <mergeCell ref="C23:D23"/>
    <mergeCell ref="C6:K6"/>
    <mergeCell ref="A4:B4"/>
    <mergeCell ref="C5:K5"/>
    <mergeCell ref="B22:D22"/>
    <mergeCell ref="J11:J13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23611780178</t>
        </is>
      </c>
      <c r="B11" s="14" t="inlineStr">
        <is>
          <t>08</t>
        </is>
      </c>
      <c r="C11" s="26" t="inlineStr">
        <is>
          <t>Saloni</t>
        </is>
      </c>
      <c r="D11" s="8" t="n">
        <v>23</v>
      </c>
      <c r="E11" s="8" t="n">
        <v>23</v>
      </c>
      <c r="F11" s="8" t="n">
        <v>2</v>
      </c>
      <c r="G11" s="8" t="n">
        <v>22</v>
      </c>
      <c r="H11" s="8" t="inlineStr">
        <is>
          <t>-</t>
        </is>
      </c>
      <c r="I11" s="8" t="inlineStr">
        <is>
          <t>-</t>
        </is>
      </c>
      <c r="J11" s="8" t="n">
        <v>17.5</v>
      </c>
    </row>
    <row r="12">
      <c r="A12" s="14" t="inlineStr">
        <is>
          <t>23611780186</t>
        </is>
      </c>
      <c r="B12" s="14" t="inlineStr">
        <is>
          <t>16</t>
        </is>
      </c>
      <c r="C12" s="26" t="inlineStr">
        <is>
          <t>Farheen</t>
        </is>
      </c>
      <c r="D12" s="8" t="n">
        <v>2</v>
      </c>
      <c r="E12" s="8" t="n">
        <v>23</v>
      </c>
      <c r="F12" s="8" t="n">
        <v>2</v>
      </c>
      <c r="G12" s="8" t="n">
        <v>2</v>
      </c>
      <c r="H12" s="8" t="inlineStr">
        <is>
          <t>-</t>
        </is>
      </c>
      <c r="I12" s="8" t="inlineStr">
        <is>
          <t>-</t>
        </is>
      </c>
      <c r="J12" s="8" t="n">
        <v>7.25</v>
      </c>
    </row>
    <row r="13">
      <c r="A13" s="14" t="inlineStr">
        <is>
          <t>23611780237</t>
        </is>
      </c>
      <c r="B13" s="14" t="inlineStr">
        <is>
          <t>61</t>
        </is>
      </c>
      <c r="C13" s="26" t="inlineStr">
        <is>
          <t>Gayatri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27" t="inlineStr">
        <is>
          <t>Average</t>
        </is>
      </c>
      <c r="D14" s="8">
        <f>IFERROR(ROUND(AVERAGE(D11:D13), 2), 0)</f>
        <v/>
      </c>
      <c r="E14" s="8">
        <f>IFERROR(ROUND(AVERAGE(E11:E13), 2), 0)</f>
        <v/>
      </c>
      <c r="F14" s="8">
        <f>IFERROR(ROUND(AVERAGE(F11:F13), 2), 0)</f>
        <v/>
      </c>
      <c r="G14" s="8">
        <f>IFERROR(ROUND(AVERAGE(G11:G13), 2), 0)</f>
        <v/>
      </c>
      <c r="H14" s="8">
        <f>IFERROR(ROUND(AVERAGE(H11:H13), 2), 0)</f>
        <v/>
      </c>
      <c r="I14" s="8">
        <f>IFERROR(ROUND(AVERAGE(I11:I13), 2), 0)</f>
        <v/>
      </c>
      <c r="J14" s="8">
        <f>IFERROR(ROUND(AVERAGE(J11:J13), 2), 0)</f>
        <v/>
      </c>
    </row>
    <row r="15">
      <c r="A15" s="27" t="inlineStr">
        <is>
          <t>Total Appeared</t>
        </is>
      </c>
      <c r="D15" s="8">
        <f>COUNT(D11:D13)</f>
        <v/>
      </c>
      <c r="E15" s="8">
        <f>COUNT(E11:E13)</f>
        <v/>
      </c>
      <c r="F15" s="8">
        <f>COUNT(F11:F13)</f>
        <v/>
      </c>
      <c r="G15" s="8">
        <f>COUNT(G11:G13)</f>
        <v/>
      </c>
      <c r="H15" s="8">
        <f>COUNT(H11:H13)</f>
        <v/>
      </c>
      <c r="I15" s="8">
        <f>COUNT(I11:I13)</f>
        <v/>
      </c>
      <c r="J15" s="8">
        <f>COUNT(J11:J13)</f>
        <v/>
      </c>
    </row>
    <row r="16">
      <c r="A16" s="27" t="inlineStr">
        <is>
          <t>% above Avg</t>
        </is>
      </c>
      <c r="D16" s="8">
        <f>IF(COUNT(D11:D13)&gt;0, ROUND(COUNTIF(D11:D13, "&gt;="&amp;D14) / COUNT(D11:D13) * 100, 2) &amp; "%", "0%")</f>
        <v/>
      </c>
      <c r="E16" s="8">
        <f>IF(COUNT(E11:E13)&gt;0, ROUND(COUNTIF(E11:E13, "&gt;="&amp;E14) / COUNT(E11:E13) * 100, 2) &amp; "%", "0%")</f>
        <v/>
      </c>
      <c r="F16" s="8">
        <f>IF(COUNT(F11:F13)&gt;0, ROUND(COUNTIF(F11:F13, "&gt;="&amp;F14) / COUNT(F11:F13) * 100, 2) &amp; "%", "0%")</f>
        <v/>
      </c>
      <c r="G16" s="8">
        <f>IF(COUNT(G11:G13)&gt;0, ROUND(COUNTIF(G11:G13, "&gt;="&amp;G14) / COUNT(G11:G13) * 100, 2) &amp; "%", "0%")</f>
        <v/>
      </c>
      <c r="H16" s="8">
        <f>IF(COUNT(H11:H13)&gt;0, ROUND(COUNTIF(H11:H13, "&gt;="&amp;H14) / COUNT(H11:H13) * 100, 2) &amp; "%", "0%")</f>
        <v/>
      </c>
      <c r="I16" s="8">
        <f>IF(COUNT(I11:I13)&gt;0, ROUND(COUNTIF(I11:I13, "&gt;="&amp;I14) / COUNT(I11:I13) * 100, 2) &amp; "%", "0%")</f>
        <v/>
      </c>
      <c r="J16" s="8">
        <f>IF(COUNT(J11:J13)&gt;0, ROUND(COUNTIF(J11:J13, "&gt;="&amp;J14) / COUNT(J11:J13) * 100, 2) &amp; "%", "0%")</f>
        <v/>
      </c>
    </row>
    <row r="17">
      <c r="A17" s="27" t="inlineStr">
        <is>
          <t>CO Attainment</t>
        </is>
      </c>
      <c r="D17" s="8" t="n">
        <v>1.25</v>
      </c>
      <c r="E17" s="8" t="n">
        <v>3</v>
      </c>
      <c r="F17" s="8" t="n">
        <v>3</v>
      </c>
      <c r="G17" s="8" t="n">
        <v>1.25</v>
      </c>
      <c r="H17" s="8" t="n">
        <v>0</v>
      </c>
      <c r="I17" s="8" t="n">
        <v>0</v>
      </c>
      <c r="J17" s="8" t="n">
        <v>1.25</v>
      </c>
    </row>
    <row r="19">
      <c r="B19" s="33" t="inlineStr">
        <is>
          <t>CO attainment through SLA</t>
        </is>
      </c>
    </row>
    <row r="20">
      <c r="B20" s="14" t="inlineStr">
        <is>
          <t>% CO Attained</t>
        </is>
      </c>
      <c r="C20" s="14" t="inlineStr">
        <is>
          <t>CO attainment</t>
        </is>
      </c>
    </row>
    <row r="21">
      <c r="B21" s="14" t="inlineStr">
        <is>
          <t>CO1</t>
        </is>
      </c>
      <c r="C21" s="15" t="n">
        <v>50</v>
      </c>
      <c r="D21" s="14" t="n">
        <v>1.25</v>
      </c>
    </row>
    <row r="22">
      <c r="B22" s="14" t="inlineStr">
        <is>
          <t>CO2</t>
        </is>
      </c>
      <c r="C22" s="15" t="n">
        <v>100</v>
      </c>
      <c r="D22" s="14" t="n">
        <v>3</v>
      </c>
    </row>
    <row r="23">
      <c r="B23" s="14" t="inlineStr">
        <is>
          <t>CO3</t>
        </is>
      </c>
      <c r="C23" s="15" t="n">
        <v>100</v>
      </c>
      <c r="D23" s="14" t="n">
        <v>3</v>
      </c>
    </row>
    <row r="24">
      <c r="B24" s="14" t="inlineStr">
        <is>
          <t>CO4</t>
        </is>
      </c>
      <c r="C24" s="15" t="n">
        <v>50</v>
      </c>
      <c r="D24" s="14" t="n">
        <v>1.25</v>
      </c>
    </row>
  </sheetData>
  <mergeCells count="22">
    <mergeCell ref="C3:M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23611780178</t>
        </is>
      </c>
      <c r="B11" s="14" t="inlineStr">
        <is>
          <t>08</t>
        </is>
      </c>
      <c r="C11" s="26" t="inlineStr">
        <is>
          <t>Saloni</t>
        </is>
      </c>
      <c r="D11" s="8" t="n">
        <v>70</v>
      </c>
    </row>
    <row r="12">
      <c r="A12" s="14" t="inlineStr">
        <is>
          <t>23611780186</t>
        </is>
      </c>
      <c r="B12" s="14" t="inlineStr">
        <is>
          <t>16</t>
        </is>
      </c>
      <c r="C12" s="26" t="inlineStr">
        <is>
          <t>Farheen</t>
        </is>
      </c>
      <c r="D12" s="8" t="n">
        <v>67</v>
      </c>
    </row>
    <row r="13">
      <c r="A13" s="14" t="inlineStr">
        <is>
          <t>23611780237</t>
        </is>
      </c>
      <c r="B13" s="14" t="inlineStr">
        <is>
          <t>61</t>
        </is>
      </c>
      <c r="C13" s="26" t="inlineStr">
        <is>
          <t>Gayatri</t>
        </is>
      </c>
      <c r="D13" s="8" t="inlineStr">
        <is>
          <t>-</t>
        </is>
      </c>
    </row>
    <row r="14">
      <c r="A14" s="27" t="inlineStr">
        <is>
          <t>Average</t>
        </is>
      </c>
      <c r="D14" s="28" t="n">
        <v>68.5</v>
      </c>
    </row>
    <row r="15">
      <c r="A15" s="27" t="inlineStr">
        <is>
          <t>Total Students Appeared</t>
        </is>
      </c>
      <c r="D15" s="28" t="n">
        <v>2</v>
      </c>
    </row>
    <row r="16">
      <c r="A16" s="27" t="inlineStr">
        <is>
          <t>Absent</t>
        </is>
      </c>
      <c r="D16" s="28" t="n">
        <v>1</v>
      </c>
    </row>
    <row r="17">
      <c r="A17" s="27" t="inlineStr">
        <is>
          <t>% above Avg</t>
        </is>
      </c>
      <c r="D17" s="28" t="inlineStr">
        <is>
          <t>50.0%</t>
        </is>
      </c>
    </row>
    <row r="18">
      <c r="A18" s="27" t="inlineStr">
        <is>
          <t>CO Attainment</t>
        </is>
      </c>
      <c r="D18" s="28" t="n">
        <v>1.25</v>
      </c>
    </row>
  </sheetData>
  <mergeCells count="21">
    <mergeCell ref="C3:M3"/>
    <mergeCell ref="C9:K9"/>
    <mergeCell ref="A18:C18"/>
    <mergeCell ref="A1:B3"/>
    <mergeCell ref="A6:B6"/>
    <mergeCell ref="A7:B7"/>
    <mergeCell ref="A14:C14"/>
    <mergeCell ref="C1:M1"/>
    <mergeCell ref="A17:C17"/>
    <mergeCell ref="C8:K8"/>
    <mergeCell ref="C7:K7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23611780178</t>
        </is>
      </c>
      <c r="B11" s="14" t="inlineStr">
        <is>
          <t>08</t>
        </is>
      </c>
      <c r="C11" s="26" t="inlineStr">
        <is>
          <t>Saloni</t>
        </is>
      </c>
      <c r="D11" s="8" t="inlineStr">
        <is>
          <t>-</t>
        </is>
      </c>
    </row>
    <row r="12">
      <c r="A12" s="14" t="inlineStr">
        <is>
          <t>23611780186</t>
        </is>
      </c>
      <c r="B12" s="14" t="inlineStr">
        <is>
          <t>16</t>
        </is>
      </c>
      <c r="C12" s="26" t="inlineStr">
        <is>
          <t>Farheen</t>
        </is>
      </c>
      <c r="D12" s="8" t="inlineStr">
        <is>
          <t>-</t>
        </is>
      </c>
    </row>
    <row r="13">
      <c r="A13" s="14" t="inlineStr">
        <is>
          <t>23611780237</t>
        </is>
      </c>
      <c r="B13" s="14" t="inlineStr">
        <is>
          <t>61</t>
        </is>
      </c>
      <c r="C13" s="26" t="inlineStr">
        <is>
          <t>Gayatri</t>
        </is>
      </c>
      <c r="D13" s="8" t="inlineStr">
        <is>
          <t>-</t>
        </is>
      </c>
    </row>
    <row r="14">
      <c r="A14" s="27" t="inlineStr">
        <is>
          <t>Average</t>
        </is>
      </c>
      <c r="D14" s="28" t="n">
        <v>0</v>
      </c>
    </row>
    <row r="15">
      <c r="A15" s="27" t="inlineStr">
        <is>
          <t>Total Students Appeared</t>
        </is>
      </c>
      <c r="D15" s="28" t="n">
        <v>0</v>
      </c>
    </row>
    <row r="16">
      <c r="A16" s="27" t="inlineStr">
        <is>
          <t>Absent</t>
        </is>
      </c>
      <c r="D16" s="28" t="n">
        <v>3</v>
      </c>
    </row>
    <row r="17">
      <c r="A17" s="27" t="inlineStr">
        <is>
          <t>% above Avg</t>
        </is>
      </c>
      <c r="D17" s="28" t="inlineStr">
        <is>
          <t>0%</t>
        </is>
      </c>
    </row>
    <row r="18">
      <c r="A18" s="27" t="inlineStr">
        <is>
          <t>CO Attainment</t>
        </is>
      </c>
      <c r="D18" s="28" t="n">
        <v>0</v>
      </c>
    </row>
  </sheetData>
  <mergeCells count="21">
    <mergeCell ref="C3:M3"/>
    <mergeCell ref="C9:K9"/>
    <mergeCell ref="A18:C18"/>
    <mergeCell ref="A1:B3"/>
    <mergeCell ref="A6:B6"/>
    <mergeCell ref="A7:B7"/>
    <mergeCell ref="A14:C14"/>
    <mergeCell ref="C1:M1"/>
    <mergeCell ref="A17:C17"/>
    <mergeCell ref="C8:K8"/>
    <mergeCell ref="C7:K7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Total</t>
        </is>
      </c>
    </row>
    <row r="11">
      <c r="A11" s="14" t="inlineStr">
        <is>
          <t>23611780178</t>
        </is>
      </c>
      <c r="B11" s="14" t="inlineStr">
        <is>
          <t>08</t>
        </is>
      </c>
      <c r="C11" s="26" t="inlineStr">
        <is>
          <t>Saloni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</row>
    <row r="12">
      <c r="A12" s="14" t="inlineStr">
        <is>
          <t>23611780186</t>
        </is>
      </c>
      <c r="B12" s="14" t="inlineStr">
        <is>
          <t>16</t>
        </is>
      </c>
      <c r="C12" s="26" t="inlineStr">
        <is>
          <t>Farheen</t>
        </is>
      </c>
      <c r="D12" s="8" t="n">
        <v>4</v>
      </c>
      <c r="E12" s="8" t="n">
        <v>2</v>
      </c>
      <c r="F12" s="8" t="n">
        <v>3</v>
      </c>
    </row>
    <row r="13">
      <c r="A13" s="14" t="inlineStr">
        <is>
          <t>23611780237</t>
        </is>
      </c>
      <c r="B13" s="14" t="inlineStr">
        <is>
          <t>61</t>
        </is>
      </c>
      <c r="C13" s="26" t="inlineStr">
        <is>
          <t>Gayatri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</row>
    <row r="14">
      <c r="A14" s="27" t="inlineStr">
        <is>
          <t>Average Rating</t>
        </is>
      </c>
      <c r="D14" s="8">
        <f>IFERROR(ROUND(AVERAGE(D11:D13), 2), 0)</f>
        <v/>
      </c>
      <c r="E14" s="8">
        <f>IFERROR(ROUND(AVERAGE(E11:E13), 2), 0)</f>
        <v/>
      </c>
    </row>
    <row r="15">
      <c r="A15" s="27" t="inlineStr">
        <is>
          <t>Total Responses</t>
        </is>
      </c>
      <c r="D15" s="8">
        <f>COUNT(D11:D13)</f>
        <v/>
      </c>
      <c r="E15" s="8">
        <f>COUNT(E11:E13)</f>
        <v/>
      </c>
    </row>
    <row r="17">
      <c r="B17" s="33" t="inlineStr">
        <is>
          <t>CO attainment through CES</t>
        </is>
      </c>
    </row>
    <row r="18">
      <c r="B18" s="14" t="inlineStr">
        <is>
          <t>Course Outcome</t>
        </is>
      </c>
      <c r="C18" s="14" t="inlineStr">
        <is>
          <t>Avg Rating</t>
        </is>
      </c>
    </row>
    <row r="19">
      <c r="B19" s="14" t="inlineStr">
        <is>
          <t>CO1</t>
        </is>
      </c>
      <c r="C19" s="15" t="n">
        <v>4</v>
      </c>
      <c r="D19" s="14" t="inlineStr"/>
    </row>
    <row r="20">
      <c r="B20" s="14" t="inlineStr">
        <is>
          <t>CO2</t>
        </is>
      </c>
      <c r="C20" s="15" t="n">
        <v>2</v>
      </c>
      <c r="D20" s="14" t="inlineStr"/>
    </row>
  </sheetData>
  <mergeCells count="20">
    <mergeCell ref="C3:M3"/>
    <mergeCell ref="B17:D17"/>
    <mergeCell ref="C9:K9"/>
    <mergeCell ref="A1:B3"/>
    <mergeCell ref="A6:B6"/>
    <mergeCell ref="A7:B7"/>
    <mergeCell ref="A14:C14"/>
    <mergeCell ref="C1:M1"/>
    <mergeCell ref="C8:K8"/>
    <mergeCell ref="C7:K7"/>
    <mergeCell ref="A5:B5"/>
    <mergeCell ref="C2:M2"/>
    <mergeCell ref="A15:C15"/>
    <mergeCell ref="A8:B8"/>
    <mergeCell ref="C6:K6"/>
    <mergeCell ref="A4:B4"/>
    <mergeCell ref="C5:K5"/>
    <mergeCell ref="C18:D1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D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PSO 1</t>
        </is>
      </c>
      <c r="E13" s="34" t="inlineStr">
        <is>
          <t>PSO 2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CO301.1</t>
        </is>
      </c>
      <c r="B14" s="5" t="n">
        <v>1</v>
      </c>
      <c r="C14" s="5" t="n">
        <v>2</v>
      </c>
      <c r="D14" s="5" t="inlineStr"/>
      <c r="E14" s="5" t="n">
        <v>1</v>
      </c>
      <c r="M14" s="14" t="inlineStr">
        <is>
          <t>CO301.1</t>
        </is>
      </c>
      <c r="N14" s="14" t="inlineStr">
        <is>
          <t>Explain various software testing methods</t>
        </is>
      </c>
    </row>
    <row r="15">
      <c r="A15" s="34" t="inlineStr">
        <is>
          <t>CO301.2</t>
        </is>
      </c>
      <c r="B15" s="5" t="n">
        <v>3</v>
      </c>
      <c r="C15" s="5" t="n">
        <v>2</v>
      </c>
      <c r="D15" s="5" t="n">
        <v>3</v>
      </c>
      <c r="E15" s="5" t="n">
        <v>3</v>
      </c>
      <c r="M15" s="14" t="inlineStr">
        <is>
          <t>CO301.2</t>
        </is>
      </c>
      <c r="N15" s="14" t="inlineStr">
        <is>
          <t>Prepare test cases for different levels of testing</t>
        </is>
      </c>
    </row>
    <row r="16">
      <c r="A16" s="34" t="inlineStr">
        <is>
          <t>CO301.3</t>
        </is>
      </c>
      <c r="B16" s="5" t="n">
        <v>1</v>
      </c>
      <c r="C16" s="5" t="n">
        <v>1</v>
      </c>
      <c r="D16" s="5" t="n">
        <v>2</v>
      </c>
      <c r="E16" s="5" t="inlineStr"/>
      <c r="M16" s="14" t="inlineStr">
        <is>
          <t>CO301.3</t>
        </is>
      </c>
      <c r="N16" s="14" t="inlineStr">
        <is>
          <t>CO 3</t>
        </is>
      </c>
    </row>
    <row r="17">
      <c r="A17" s="5" t="inlineStr">
        <is>
          <t>Average</t>
        </is>
      </c>
      <c r="B17" s="5" t="n">
        <v>1.67</v>
      </c>
      <c r="C17" s="5" t="n">
        <v>1.67</v>
      </c>
      <c r="D17" s="5" t="n">
        <v>2.5</v>
      </c>
      <c r="E17" s="5" t="n">
        <v>2</v>
      </c>
    </row>
    <row r="21">
      <c r="A21" s="37" t="inlineStr">
        <is>
          <t>Direct CO Attainment</t>
        </is>
      </c>
    </row>
    <row r="22">
      <c r="A22" s="38" t="inlineStr">
        <is>
          <t>CO</t>
        </is>
      </c>
      <c r="B22" s="38" t="inlineStr">
        <is>
          <t>Attainment</t>
        </is>
      </c>
    </row>
    <row r="23">
      <c r="A23" s="14" t="inlineStr">
        <is>
          <t>CO301.1</t>
        </is>
      </c>
      <c r="B23" s="14" t="n">
        <v>1.84</v>
      </c>
    </row>
    <row r="24">
      <c r="A24" s="14" t="inlineStr">
        <is>
          <t>CO301.2</t>
        </is>
      </c>
      <c r="B24" s="14" t="n">
        <v>2</v>
      </c>
    </row>
    <row r="25">
      <c r="A25" s="14" t="inlineStr">
        <is>
          <t>CO301.3</t>
        </is>
      </c>
      <c r="B25" s="14" t="n">
        <v>2</v>
      </c>
    </row>
    <row r="26">
      <c r="A26" s="39" t="inlineStr">
        <is>
          <t>Average</t>
        </is>
      </c>
      <c r="B26" s="39" t="n">
        <v>1.95</v>
      </c>
    </row>
    <row r="28">
      <c r="B28" s="37" t="inlineStr">
        <is>
          <t>Direct POs &amp; PSOs Attainment</t>
        </is>
      </c>
    </row>
    <row r="29">
      <c r="B29" s="40" t="inlineStr">
        <is>
          <t>PO 1</t>
        </is>
      </c>
      <c r="C29" s="40" t="inlineStr">
        <is>
          <t>PO 2</t>
        </is>
      </c>
      <c r="D29" s="40" t="inlineStr">
        <is>
          <t>PSO 1</t>
        </is>
      </c>
      <c r="E29" s="40" t="inlineStr">
        <is>
          <t>PSO 2</t>
        </is>
      </c>
    </row>
    <row r="30">
      <c r="B30" s="40" t="n">
        <v>1.97</v>
      </c>
      <c r="C30" s="40" t="n">
        <v>1.94</v>
      </c>
      <c r="D30" s="40" t="n">
        <v>2</v>
      </c>
      <c r="E30" s="40" t="n">
        <v>1.96</v>
      </c>
    </row>
  </sheetData>
  <mergeCells count="21">
    <mergeCell ref="C3:M3"/>
    <mergeCell ref="C9:K9"/>
    <mergeCell ref="A1:B3"/>
    <mergeCell ref="A6:B6"/>
    <mergeCell ref="B12:C12"/>
    <mergeCell ref="A7:B7"/>
    <mergeCell ref="C1:M1"/>
    <mergeCell ref="C8:K8"/>
    <mergeCell ref="C7:K7"/>
    <mergeCell ref="A21:B21"/>
    <mergeCell ref="M12:N12"/>
    <mergeCell ref="A5:B5"/>
    <mergeCell ref="C2:M2"/>
    <mergeCell ref="A8:B8"/>
    <mergeCell ref="D12:E12"/>
    <mergeCell ref="C6:K6"/>
    <mergeCell ref="A4:B4"/>
    <mergeCell ref="C5:K5"/>
    <mergeCell ref="A9:B9"/>
    <mergeCell ref="C4:K4"/>
    <mergeCell ref="B28:E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2026-02-26T08:40:40Z</dcterms:created>
  <dcterms:modified xsi:type="dcterms:W3CDTF">2026-02-26T08:40:40Z</dcterms:modified>
</cp:coreProperties>
</file>