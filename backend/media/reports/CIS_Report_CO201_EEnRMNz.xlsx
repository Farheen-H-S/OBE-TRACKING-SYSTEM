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1.8</v>
      </c>
      <c r="D13" s="9" t="n">
        <v>1.75</v>
      </c>
      <c r="E13" s="8" t="n">
        <v>57.32</v>
      </c>
      <c r="F13" s="8" t="n">
        <v>1.28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1.33</v>
      </c>
      <c r="G13" s="8" t="n">
        <v>1</v>
      </c>
      <c r="H13" s="14" t="n">
        <v>1.78</v>
      </c>
      <c r="J13" s="8" t="n">
        <v>1.75</v>
      </c>
      <c r="K13" s="8" t="n">
        <v>1</v>
      </c>
      <c r="L13" s="14" t="n">
        <v>1.38</v>
      </c>
      <c r="N13" s="14" t="n">
        <v>1.54</v>
      </c>
      <c r="O13" s="14" t="inlineStr">
        <is>
          <t>-</t>
        </is>
      </c>
      <c r="P13" s="14" t="n">
        <v>1.76</v>
      </c>
      <c r="Q13" s="15" t="n">
        <v>3</v>
      </c>
      <c r="R13" s="14" t="n">
        <v>1.24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1.97</v>
      </c>
      <c r="G14" s="8" t="n">
        <v>1</v>
      </c>
      <c r="H14" s="14" t="n">
        <v>1.88</v>
      </c>
      <c r="J14" s="8" t="n">
        <v>1.75</v>
      </c>
      <c r="K14" s="8" t="n">
        <v>1</v>
      </c>
      <c r="L14" s="14" t="n">
        <v>1.38</v>
      </c>
      <c r="N14" s="14" t="n">
        <v>1.58</v>
      </c>
      <c r="O14" s="14" t="inlineStr">
        <is>
          <t>-</t>
        </is>
      </c>
      <c r="P14" s="14" t="n">
        <v>1.8</v>
      </c>
      <c r="Q14" s="15" t="n">
        <v>3</v>
      </c>
      <c r="R14" s="14" t="n">
        <v>1.2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1.57</v>
      </c>
      <c r="G15" s="8" t="n">
        <v>1</v>
      </c>
      <c r="H15" s="14" t="n">
        <v>1.81</v>
      </c>
      <c r="J15" s="8" t="n">
        <v>1.75</v>
      </c>
      <c r="K15" s="8" t="n">
        <v>1</v>
      </c>
      <c r="L15" s="14" t="n">
        <v>1.38</v>
      </c>
      <c r="N15" s="14" t="n">
        <v>1.55</v>
      </c>
      <c r="O15" s="14" t="inlineStr">
        <is>
          <t>-</t>
        </is>
      </c>
      <c r="P15" s="14" t="n">
        <v>1.77</v>
      </c>
      <c r="Q15" s="15" t="n">
        <v>3</v>
      </c>
      <c r="R15" s="14" t="n">
        <v>1.23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1.58</v>
      </c>
      <c r="G16" s="8" t="n">
        <v>1</v>
      </c>
      <c r="H16" s="14" t="n">
        <v>1.85</v>
      </c>
      <c r="J16" s="8" t="n">
        <v>1.75</v>
      </c>
      <c r="K16" s="8" t="n">
        <v>1</v>
      </c>
      <c r="L16" s="14" t="n">
        <v>1.38</v>
      </c>
      <c r="N16" s="14" t="n">
        <v>1.57</v>
      </c>
      <c r="O16" s="14" t="inlineStr">
        <is>
          <t>-</t>
        </is>
      </c>
      <c r="P16" s="14" t="n">
        <v>1.79</v>
      </c>
      <c r="Q16" s="15" t="n">
        <v>3</v>
      </c>
      <c r="R16" s="14" t="n">
        <v>1.21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1.8</v>
      </c>
      <c r="G17" s="8" t="n">
        <v>1</v>
      </c>
      <c r="H17" s="14" t="n">
        <v>1.91</v>
      </c>
      <c r="J17" s="8" t="n">
        <v>1.75</v>
      </c>
      <c r="K17" s="8" t="n">
        <v>1</v>
      </c>
      <c r="L17" s="14" t="n">
        <v>1.38</v>
      </c>
      <c r="N17" s="14" t="n">
        <v>1.59</v>
      </c>
      <c r="O17" s="14" t="inlineStr">
        <is>
          <t>-</t>
        </is>
      </c>
      <c r="P17" s="14" t="n">
        <v>1.81</v>
      </c>
      <c r="Q17" s="15" t="n">
        <v>3</v>
      </c>
      <c r="R17" s="14" t="n">
        <v>1.19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2.23</v>
      </c>
      <c r="G18" s="8" t="n">
        <v>1</v>
      </c>
      <c r="H18" s="14" t="n">
        <v>2.1</v>
      </c>
      <c r="J18" s="8" t="n">
        <v>1.75</v>
      </c>
      <c r="K18" s="8" t="n">
        <v>1</v>
      </c>
      <c r="L18" s="14" t="n">
        <v>1.38</v>
      </c>
      <c r="N18" s="14" t="n">
        <v>1.67</v>
      </c>
      <c r="O18" s="14" t="inlineStr">
        <is>
          <t>-</t>
        </is>
      </c>
      <c r="P18" s="14" t="n">
        <v>1.89</v>
      </c>
      <c r="Q18" s="15" t="n">
        <v>3</v>
      </c>
      <c r="R18" s="14" t="n">
        <v>1.11</v>
      </c>
      <c r="S18" s="15" t="n">
        <v>3</v>
      </c>
    </row>
    <row r="19">
      <c r="B19" s="16" t="inlineStr">
        <is>
          <t>Attainment of CO</t>
        </is>
      </c>
      <c r="P19" s="17">
        <f>AVERAGE(P13:P18)</f>
        <v/>
      </c>
      <c r="Q19" s="17" t="inlineStr"/>
      <c r="R19" s="17">
        <f>AVERAGE(R13:R18)</f>
        <v/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>
        <v>0</v>
      </c>
      <c r="K14" s="8" t="n">
        <v>0</v>
      </c>
      <c r="L14" s="8" t="n">
        <v>3</v>
      </c>
      <c r="M14" s="8" t="n">
        <v>4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>
        <v>0</v>
      </c>
      <c r="K15" s="8" t="n">
        <v>0</v>
      </c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>
        <v>0</v>
      </c>
      <c r="R15" s="8" t="n">
        <v>0</v>
      </c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>
        <v>0</v>
      </c>
      <c r="I16" s="8" t="n">
        <v>0</v>
      </c>
      <c r="J16" s="8" t="n">
        <v>2</v>
      </c>
      <c r="K16" s="8" t="n">
        <v>0</v>
      </c>
      <c r="L16" s="8" t="n">
        <v>4</v>
      </c>
      <c r="M16" s="8" t="n">
        <v>3</v>
      </c>
      <c r="N16" s="8" t="n">
        <v>1</v>
      </c>
      <c r="O16" s="8" t="n">
        <v>4</v>
      </c>
      <c r="P16" s="8" t="n">
        <v>0</v>
      </c>
      <c r="Q16" s="8" t="n">
        <v>3</v>
      </c>
      <c r="R16" s="8" t="n">
        <v>0</v>
      </c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>
        <v>0</v>
      </c>
      <c r="I17" s="8" t="n">
        <v>0</v>
      </c>
      <c r="J17" s="8" t="n">
        <v>2</v>
      </c>
      <c r="K17" s="8" t="n">
        <v>2</v>
      </c>
      <c r="L17" s="8" t="n">
        <v>4</v>
      </c>
      <c r="M17" s="8" t="n">
        <v>4</v>
      </c>
      <c r="N17" s="8" t="n">
        <v>0</v>
      </c>
      <c r="O17" s="8" t="n">
        <v>2</v>
      </c>
      <c r="P17" s="8" t="n">
        <v>0</v>
      </c>
      <c r="Q17" s="8" t="n">
        <v>4</v>
      </c>
      <c r="R17" s="8" t="n">
        <v>0</v>
      </c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>
        <v>0</v>
      </c>
      <c r="K18" s="8" t="n">
        <v>0</v>
      </c>
      <c r="L18" s="8" t="n">
        <v>3</v>
      </c>
      <c r="M18" s="8" t="n">
        <v>3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>
        <v>0</v>
      </c>
      <c r="K19" s="8" t="n">
        <v>0</v>
      </c>
      <c r="L19" s="8" t="n">
        <v>4</v>
      </c>
      <c r="M19" s="8" t="n">
        <v>4</v>
      </c>
      <c r="N19" s="8" t="n">
        <v>0</v>
      </c>
      <c r="O19" s="8" t="n">
        <v>4</v>
      </c>
      <c r="P19" s="8" t="n">
        <v>4</v>
      </c>
      <c r="Q19" s="8" t="n">
        <v>0</v>
      </c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>
        <v>0</v>
      </c>
      <c r="G20" s="8" t="n">
        <v>2</v>
      </c>
      <c r="H20" s="8" t="n">
        <v>2</v>
      </c>
      <c r="I20" s="8" t="n">
        <v>2</v>
      </c>
      <c r="J20" s="8" t="n">
        <v>2</v>
      </c>
      <c r="K20" s="8" t="n">
        <v>0</v>
      </c>
      <c r="L20" s="8" t="n">
        <v>4</v>
      </c>
      <c r="M20" s="8" t="n">
        <v>0</v>
      </c>
      <c r="N20" s="8" t="n">
        <v>1</v>
      </c>
      <c r="O20" s="8" t="n">
        <v>0</v>
      </c>
      <c r="P20" s="8" t="n">
        <v>0</v>
      </c>
      <c r="Q20" s="8" t="n">
        <v>0</v>
      </c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>
        <v>0</v>
      </c>
      <c r="K21" s="8" t="n">
        <v>0</v>
      </c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>
        <v>0</v>
      </c>
      <c r="R21" s="8" t="n">
        <v>0</v>
      </c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>
        <v>0</v>
      </c>
      <c r="K22" s="8" t="n">
        <v>0</v>
      </c>
      <c r="L22" s="8" t="n">
        <v>4</v>
      </c>
      <c r="M22" s="8" t="n">
        <v>4</v>
      </c>
      <c r="N22" s="8" t="n">
        <v>0</v>
      </c>
      <c r="O22" s="8" t="n">
        <v>0</v>
      </c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>
        <v>0</v>
      </c>
      <c r="G23" s="8" t="n">
        <v>2</v>
      </c>
      <c r="H23" s="8" t="n">
        <v>0</v>
      </c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>
        <v>0</v>
      </c>
      <c r="O23" s="8" t="n">
        <v>4</v>
      </c>
      <c r="P23" s="8" t="n">
        <v>0</v>
      </c>
      <c r="Q23" s="8" t="n">
        <v>0</v>
      </c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>
        <v>0</v>
      </c>
      <c r="G24" s="8" t="n">
        <v>2</v>
      </c>
      <c r="H24" s="8" t="n">
        <v>0</v>
      </c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>
        <v>0</v>
      </c>
      <c r="R24" s="8" t="n">
        <v>0</v>
      </c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>
        <v>0</v>
      </c>
      <c r="J25" s="8" t="n">
        <v>2</v>
      </c>
      <c r="K25" s="8" t="n">
        <v>0</v>
      </c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>
        <v>0</v>
      </c>
      <c r="R25" s="8" t="n">
        <v>0</v>
      </c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>
        <v>0</v>
      </c>
      <c r="J26" s="8" t="n">
        <v>2</v>
      </c>
      <c r="K26" s="8" t="n">
        <v>0</v>
      </c>
      <c r="L26" s="8" t="n">
        <v>0</v>
      </c>
      <c r="M26" s="8" t="n">
        <v>0</v>
      </c>
      <c r="N26" s="8" t="n">
        <v>1</v>
      </c>
      <c r="O26" s="8" t="n">
        <v>4</v>
      </c>
      <c r="P26" s="8" t="n">
        <v>0</v>
      </c>
      <c r="Q26" s="8" t="n">
        <v>0</v>
      </c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0</v>
      </c>
      <c r="G27" s="8" t="n">
        <v>2</v>
      </c>
      <c r="H27" s="8" t="n">
        <v>2</v>
      </c>
      <c r="I27" s="8" t="n">
        <v>0</v>
      </c>
      <c r="J27" s="8" t="n">
        <v>2</v>
      </c>
      <c r="K27" s="8" t="n">
        <v>2</v>
      </c>
      <c r="L27" s="8" t="n">
        <v>4</v>
      </c>
      <c r="M27" s="8" t="n">
        <v>0</v>
      </c>
      <c r="N27" s="8" t="n">
        <v>0</v>
      </c>
      <c r="O27" s="8" t="n">
        <v>4</v>
      </c>
      <c r="P27" s="8" t="n">
        <v>4</v>
      </c>
      <c r="Q27" s="8" t="n">
        <v>0</v>
      </c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>
        <v>0</v>
      </c>
      <c r="K28" s="8" t="n">
        <v>0</v>
      </c>
      <c r="L28" s="8" t="n">
        <v>4</v>
      </c>
      <c r="M28" s="8" t="n">
        <v>4</v>
      </c>
      <c r="N28" s="8" t="n">
        <v>0</v>
      </c>
      <c r="O28" s="8" t="n">
        <v>4</v>
      </c>
      <c r="P28" s="8" t="n">
        <v>4</v>
      </c>
      <c r="Q28" s="8" t="n">
        <v>0</v>
      </c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>
        <v>0</v>
      </c>
      <c r="K29" s="8" t="n">
        <v>0</v>
      </c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>
        <v>0</v>
      </c>
      <c r="R29" s="8" t="n">
        <v>0</v>
      </c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0</v>
      </c>
      <c r="G30" s="8" t="n">
        <v>2</v>
      </c>
      <c r="H30" s="8" t="n">
        <v>2</v>
      </c>
      <c r="I30" s="8" t="n">
        <v>2</v>
      </c>
      <c r="J30" s="8" t="n">
        <v>2</v>
      </c>
      <c r="K30" s="8" t="n">
        <v>0</v>
      </c>
      <c r="L30" s="8" t="n">
        <v>4</v>
      </c>
      <c r="M30" s="8" t="n">
        <v>4</v>
      </c>
      <c r="N30" s="8" t="n">
        <v>0</v>
      </c>
      <c r="O30" s="8" t="n">
        <v>4</v>
      </c>
      <c r="P30" s="8" t="n">
        <v>0</v>
      </c>
      <c r="Q30" s="8" t="n">
        <v>0</v>
      </c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>
        <v>0</v>
      </c>
      <c r="I31" s="8" t="n">
        <v>0</v>
      </c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>
        <v>0</v>
      </c>
      <c r="Q31" s="8" t="n">
        <v>0</v>
      </c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>
        <v>0</v>
      </c>
      <c r="J32" s="8" t="n">
        <v>2</v>
      </c>
      <c r="K32" s="8" t="n">
        <v>0</v>
      </c>
      <c r="L32" s="8" t="n">
        <v>4</v>
      </c>
      <c r="M32" s="8" t="n">
        <v>4</v>
      </c>
      <c r="N32" s="8" t="n">
        <v>0</v>
      </c>
      <c r="O32" s="8" t="n">
        <v>4</v>
      </c>
      <c r="P32" s="8" t="n">
        <v>4</v>
      </c>
      <c r="Q32" s="8" t="n">
        <v>0</v>
      </c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0</v>
      </c>
      <c r="G33" s="8" t="n">
        <v>2</v>
      </c>
      <c r="H33" s="8" t="n">
        <v>2</v>
      </c>
      <c r="I33" s="8" t="n">
        <v>2</v>
      </c>
      <c r="J33" s="8" t="n">
        <v>2</v>
      </c>
      <c r="K33" s="8" t="n">
        <v>0</v>
      </c>
      <c r="L33" s="8" t="n">
        <v>4</v>
      </c>
      <c r="M33" s="8" t="n">
        <v>4</v>
      </c>
      <c r="N33" s="8" t="n">
        <v>0</v>
      </c>
      <c r="O33" s="8" t="n">
        <v>4</v>
      </c>
      <c r="P33" s="8" t="n">
        <v>4</v>
      </c>
      <c r="Q33" s="8" t="n">
        <v>0</v>
      </c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>
        <v>0</v>
      </c>
      <c r="K34" s="8" t="n">
        <v>0</v>
      </c>
      <c r="L34" s="8" t="n">
        <v>3</v>
      </c>
      <c r="M34" s="8" t="n">
        <v>4</v>
      </c>
      <c r="N34" s="8" t="n">
        <v>0</v>
      </c>
      <c r="O34" s="8" t="n">
        <v>4</v>
      </c>
      <c r="P34" s="8" t="n">
        <v>0</v>
      </c>
      <c r="Q34" s="8" t="n">
        <v>0</v>
      </c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>
        <v>0</v>
      </c>
      <c r="K35" s="8" t="n">
        <v>0</v>
      </c>
      <c r="L35" s="8" t="n">
        <v>4</v>
      </c>
      <c r="M35" s="8" t="n">
        <v>4</v>
      </c>
      <c r="N35" s="8" t="n">
        <v>4</v>
      </c>
      <c r="O35" s="8" t="n">
        <v>0</v>
      </c>
      <c r="P35" s="8" t="n">
        <v>4</v>
      </c>
      <c r="Q35" s="8" t="n">
        <v>4</v>
      </c>
      <c r="R35" s="8" t="n">
        <v>0</v>
      </c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0</v>
      </c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>
        <v>0</v>
      </c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>
        <v>0</v>
      </c>
      <c r="R36" s="8" t="n">
        <v>0</v>
      </c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>
        <v>0</v>
      </c>
      <c r="K37" s="8" t="n">
        <v>0</v>
      </c>
      <c r="L37" s="8" t="n">
        <v>3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>
        <v>0</v>
      </c>
      <c r="L38" s="8" t="n">
        <v>4</v>
      </c>
      <c r="M38" s="8" t="n">
        <v>4</v>
      </c>
      <c r="N38" s="8" t="n">
        <v>0</v>
      </c>
      <c r="O38" s="8" t="n">
        <v>4</v>
      </c>
      <c r="P38" s="8" t="n">
        <v>4</v>
      </c>
      <c r="Q38" s="8" t="n">
        <v>3</v>
      </c>
      <c r="R38" s="8" t="n">
        <v>0</v>
      </c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>
        <v>0</v>
      </c>
      <c r="J39" s="8" t="n">
        <v>2</v>
      </c>
      <c r="K39" s="8" t="n">
        <v>0</v>
      </c>
      <c r="L39" s="8" t="n">
        <v>4</v>
      </c>
      <c r="M39" s="8" t="n">
        <v>4</v>
      </c>
      <c r="N39" s="8" t="n">
        <v>0</v>
      </c>
      <c r="O39" s="8" t="n">
        <v>4</v>
      </c>
      <c r="P39" s="8" t="n">
        <v>0</v>
      </c>
      <c r="Q39" s="8" t="n">
        <v>3</v>
      </c>
      <c r="R39" s="8" t="n">
        <v>0</v>
      </c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>
        <v>0</v>
      </c>
      <c r="K40" s="8" t="n">
        <v>0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0</v>
      </c>
      <c r="Q40" s="8" t="n">
        <v>4</v>
      </c>
      <c r="R40" s="8" t="n">
        <v>0</v>
      </c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0</v>
      </c>
      <c r="G41" s="8" t="n">
        <v>2</v>
      </c>
      <c r="H41" s="8" t="n">
        <v>2</v>
      </c>
      <c r="I41" s="8" t="n">
        <v>2</v>
      </c>
      <c r="J41" s="8" t="n">
        <v>0</v>
      </c>
      <c r="K41" s="8" t="n">
        <v>2</v>
      </c>
      <c r="L41" s="8" t="n">
        <v>4</v>
      </c>
      <c r="M41" s="8" t="n">
        <v>4</v>
      </c>
      <c r="N41" s="8" t="n">
        <v>0</v>
      </c>
      <c r="O41" s="8" t="n">
        <v>0</v>
      </c>
      <c r="P41" s="8" t="n">
        <v>0</v>
      </c>
      <c r="Q41" s="8" t="n">
        <v>2</v>
      </c>
      <c r="R41" s="8" t="n">
        <v>0</v>
      </c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0</v>
      </c>
      <c r="K42" s="8" t="n">
        <v>0</v>
      </c>
      <c r="L42" s="8" t="n">
        <v>3</v>
      </c>
      <c r="M42" s="8" t="n">
        <v>4</v>
      </c>
      <c r="N42" s="8" t="n">
        <v>4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>
        <v>0</v>
      </c>
      <c r="I43" s="8" t="n">
        <v>2</v>
      </c>
      <c r="J43" s="8" t="n">
        <v>2</v>
      </c>
      <c r="K43" s="8" t="n">
        <v>0</v>
      </c>
      <c r="L43" s="8" t="n">
        <v>4</v>
      </c>
      <c r="M43" s="8" t="n">
        <v>3</v>
      </c>
      <c r="N43" s="8" t="n">
        <v>0</v>
      </c>
      <c r="O43" s="8" t="n">
        <v>0</v>
      </c>
      <c r="P43" s="8" t="n">
        <v>0</v>
      </c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1</v>
      </c>
      <c r="O44" s="8" t="n">
        <v>3</v>
      </c>
      <c r="P44" s="8" t="n">
        <v>3</v>
      </c>
      <c r="Q44" s="8" t="n">
        <v>0</v>
      </c>
      <c r="R44" s="8" t="n">
        <v>0</v>
      </c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>
        <v>0</v>
      </c>
      <c r="K45" s="8" t="n">
        <v>0</v>
      </c>
      <c r="L45" s="8" t="n">
        <v>4</v>
      </c>
      <c r="M45" s="8" t="n">
        <v>4</v>
      </c>
      <c r="N45" s="8" t="n">
        <v>4</v>
      </c>
      <c r="O45" s="8" t="n">
        <v>0</v>
      </c>
      <c r="P45" s="8" t="n">
        <v>4</v>
      </c>
      <c r="Q45" s="8" t="n">
        <v>0</v>
      </c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>
        <v>0</v>
      </c>
      <c r="G46" s="8" t="n">
        <v>2</v>
      </c>
      <c r="H46" s="8" t="n">
        <v>2</v>
      </c>
      <c r="I46" s="8" t="n">
        <v>2</v>
      </c>
      <c r="J46" s="8" t="n">
        <v>2</v>
      </c>
      <c r="K46" s="8" t="n">
        <v>0</v>
      </c>
      <c r="L46" s="8" t="n">
        <v>3</v>
      </c>
      <c r="M46" s="8" t="n">
        <v>3</v>
      </c>
      <c r="N46" s="8" t="n">
        <v>0</v>
      </c>
      <c r="O46" s="8" t="n">
        <v>0</v>
      </c>
      <c r="P46" s="8" t="n">
        <v>4</v>
      </c>
      <c r="Q46" s="8" t="n">
        <v>0</v>
      </c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>
        <v>0</v>
      </c>
      <c r="K47" s="8" t="n">
        <v>0</v>
      </c>
      <c r="L47" s="8" t="n">
        <v>4</v>
      </c>
      <c r="M47" s="8" t="n">
        <v>4</v>
      </c>
      <c r="N47" s="8" t="n">
        <v>0</v>
      </c>
      <c r="O47" s="8" t="n">
        <v>4</v>
      </c>
      <c r="P47" s="8" t="n">
        <v>4</v>
      </c>
      <c r="Q47" s="8" t="n">
        <v>0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0</v>
      </c>
      <c r="G48" s="8" t="n">
        <v>2</v>
      </c>
      <c r="H48" s="8" t="n">
        <v>2</v>
      </c>
      <c r="I48" s="8" t="n">
        <v>0</v>
      </c>
      <c r="J48" s="8" t="n">
        <v>1</v>
      </c>
      <c r="K48" s="8" t="n">
        <v>2</v>
      </c>
      <c r="L48" s="8" t="n">
        <v>0</v>
      </c>
      <c r="M48" s="8" t="n">
        <v>4</v>
      </c>
      <c r="N48" s="8" t="n">
        <v>0</v>
      </c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>
        <v>0</v>
      </c>
      <c r="J49" s="8" t="n">
        <v>2</v>
      </c>
      <c r="K49" s="8" t="n">
        <v>0</v>
      </c>
      <c r="L49" s="8" t="n">
        <v>4</v>
      </c>
      <c r="M49" s="8" t="n">
        <v>4</v>
      </c>
      <c r="N49" s="8" t="n">
        <v>1</v>
      </c>
      <c r="O49" s="8" t="n">
        <v>0</v>
      </c>
      <c r="P49" s="8" t="n">
        <v>0</v>
      </c>
      <c r="Q49" s="8" t="n">
        <v>0</v>
      </c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>
        <v>0</v>
      </c>
      <c r="K50" s="8" t="n">
        <v>0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>
        <v>0</v>
      </c>
      <c r="R50" s="8" t="n">
        <v>0</v>
      </c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>
        <v>0</v>
      </c>
      <c r="G51" s="8" t="n">
        <v>2</v>
      </c>
      <c r="H51" s="8" t="n">
        <v>2</v>
      </c>
      <c r="I51" s="8" t="n">
        <v>2</v>
      </c>
      <c r="J51" s="8" t="n">
        <v>2</v>
      </c>
      <c r="K51" s="8" t="n">
        <v>0</v>
      </c>
      <c r="L51" s="8" t="n">
        <v>4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>
        <v>0</v>
      </c>
      <c r="G52" s="8" t="n">
        <v>2</v>
      </c>
      <c r="H52" s="8" t="n">
        <v>2</v>
      </c>
      <c r="I52" s="8" t="n">
        <v>0</v>
      </c>
      <c r="J52" s="8" t="n">
        <v>2</v>
      </c>
      <c r="K52" s="8" t="n">
        <v>0</v>
      </c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0</v>
      </c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>
        <v>0</v>
      </c>
      <c r="L53" s="8" t="n">
        <v>4</v>
      </c>
      <c r="M53" s="8" t="n">
        <v>4</v>
      </c>
      <c r="N53" s="8" t="n">
        <v>0</v>
      </c>
      <c r="O53" s="8" t="n">
        <v>4</v>
      </c>
      <c r="P53" s="8" t="n">
        <v>4</v>
      </c>
      <c r="Q53" s="8" t="n">
        <v>4</v>
      </c>
      <c r="R53" s="8" t="n">
        <v>0</v>
      </c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>
        <v>0</v>
      </c>
      <c r="K54" s="8" t="n">
        <v>0</v>
      </c>
      <c r="L54" s="8" t="n">
        <v>4</v>
      </c>
      <c r="M54" s="8" t="n">
        <v>4</v>
      </c>
      <c r="N54" s="8" t="n">
        <v>4</v>
      </c>
      <c r="O54" s="8" t="n">
        <v>0</v>
      </c>
      <c r="P54" s="8" t="n">
        <v>4</v>
      </c>
      <c r="Q54" s="8" t="n">
        <v>4</v>
      </c>
      <c r="R54" s="8" t="n">
        <v>0</v>
      </c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>
        <v>0</v>
      </c>
      <c r="I55" s="8" t="n">
        <v>2</v>
      </c>
      <c r="J55" s="8" t="n">
        <v>2</v>
      </c>
      <c r="K55" s="8" t="n">
        <v>0</v>
      </c>
      <c r="L55" s="8" t="n">
        <v>4</v>
      </c>
      <c r="M55" s="8" t="n">
        <v>4</v>
      </c>
      <c r="N55" s="8" t="n">
        <v>1</v>
      </c>
      <c r="O55" s="8" t="n">
        <v>0</v>
      </c>
      <c r="P55" s="8" t="n">
        <v>1</v>
      </c>
      <c r="Q55" s="8" t="n">
        <v>4</v>
      </c>
      <c r="R55" s="8" t="n">
        <v>0</v>
      </c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>
        <v>0</v>
      </c>
      <c r="K56" s="8" t="n">
        <v>0</v>
      </c>
      <c r="L56" s="8" t="n">
        <v>4</v>
      </c>
      <c r="M56" s="8" t="n">
        <v>4</v>
      </c>
      <c r="N56" s="8" t="n">
        <v>0</v>
      </c>
      <c r="O56" s="8" t="n">
        <v>0</v>
      </c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0</v>
      </c>
      <c r="H57" s="8" t="n">
        <v>2</v>
      </c>
      <c r="I57" s="8" t="n">
        <v>0</v>
      </c>
      <c r="J57" s="8" t="n">
        <v>2</v>
      </c>
      <c r="K57" s="8" t="n">
        <v>2</v>
      </c>
      <c r="L57" s="8" t="n">
        <v>0</v>
      </c>
      <c r="M57" s="8" t="n">
        <v>4</v>
      </c>
      <c r="N57" s="8" t="n">
        <v>3</v>
      </c>
      <c r="O57" s="8" t="n">
        <v>0</v>
      </c>
      <c r="P57" s="8" t="n">
        <v>3</v>
      </c>
      <c r="Q57" s="8" t="n">
        <v>0</v>
      </c>
      <c r="R57" s="8" t="n">
        <v>0</v>
      </c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0</v>
      </c>
      <c r="G58" s="8" t="n">
        <v>2</v>
      </c>
      <c r="H58" s="8" t="n">
        <v>2</v>
      </c>
      <c r="I58" s="8" t="n">
        <v>2</v>
      </c>
      <c r="J58" s="8" t="n">
        <v>2</v>
      </c>
      <c r="K58" s="8" t="n">
        <v>0</v>
      </c>
      <c r="L58" s="8" t="n">
        <v>0</v>
      </c>
      <c r="M58" s="8" t="n">
        <v>0</v>
      </c>
      <c r="N58" s="8" t="n">
        <v>4</v>
      </c>
      <c r="O58" s="8" t="n">
        <v>0</v>
      </c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>
        <v>0</v>
      </c>
      <c r="G59" s="8" t="n">
        <v>2</v>
      </c>
      <c r="H59" s="8" t="n">
        <v>2</v>
      </c>
      <c r="I59" s="8" t="n">
        <v>2</v>
      </c>
      <c r="J59" s="8" t="n">
        <v>2</v>
      </c>
      <c r="K59" s="8" t="n">
        <v>0</v>
      </c>
      <c r="L59" s="8" t="n">
        <v>4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>
        <v>0</v>
      </c>
      <c r="G60" s="8" t="n">
        <v>2</v>
      </c>
      <c r="H60" s="8" t="n">
        <v>2</v>
      </c>
      <c r="I60" s="8" t="n">
        <v>2</v>
      </c>
      <c r="J60" s="8" t="n">
        <v>2</v>
      </c>
      <c r="K60" s="8" t="n">
        <v>0</v>
      </c>
      <c r="L60" s="8" t="n">
        <v>3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>
        <v>0</v>
      </c>
      <c r="K62" s="8" t="n">
        <v>0</v>
      </c>
      <c r="L62" s="8" t="n">
        <v>4</v>
      </c>
      <c r="M62" s="8" t="n">
        <v>4</v>
      </c>
      <c r="N62" s="8" t="n">
        <v>0</v>
      </c>
      <c r="O62" s="8" t="n">
        <v>4</v>
      </c>
      <c r="P62" s="8" t="n">
        <v>4</v>
      </c>
      <c r="Q62" s="8" t="n">
        <v>4</v>
      </c>
      <c r="R62" s="8" t="n">
        <v>0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0</v>
      </c>
      <c r="G63" s="8" t="n">
        <v>2</v>
      </c>
      <c r="H63" s="8" t="n">
        <v>2</v>
      </c>
      <c r="I63" s="8" t="n">
        <v>2</v>
      </c>
      <c r="J63" s="8" t="n">
        <v>2</v>
      </c>
      <c r="K63" s="8" t="n">
        <v>0</v>
      </c>
      <c r="L63" s="8" t="n">
        <v>4</v>
      </c>
      <c r="M63" s="8" t="n">
        <v>0</v>
      </c>
      <c r="N63" s="8" t="n">
        <v>0</v>
      </c>
      <c r="O63" s="8" t="n">
        <v>0</v>
      </c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0</v>
      </c>
      <c r="G64" s="8" t="n">
        <v>2</v>
      </c>
      <c r="H64" s="8" t="n">
        <v>2</v>
      </c>
      <c r="I64" s="8" t="n">
        <v>2</v>
      </c>
      <c r="J64" s="8" t="n">
        <v>2</v>
      </c>
      <c r="K64" s="8" t="n">
        <v>0</v>
      </c>
      <c r="L64" s="8" t="n">
        <v>4</v>
      </c>
      <c r="M64" s="8" t="n">
        <v>0</v>
      </c>
      <c r="N64" s="8" t="n">
        <v>0</v>
      </c>
      <c r="O64" s="8" t="n">
        <v>0</v>
      </c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>
        <v>0</v>
      </c>
      <c r="J65" s="8" t="n">
        <v>2</v>
      </c>
      <c r="K65" s="8" t="n">
        <v>0</v>
      </c>
      <c r="L65" s="8" t="n">
        <v>4</v>
      </c>
      <c r="M65" s="8" t="n">
        <v>4</v>
      </c>
      <c r="N65" s="8" t="n">
        <v>0</v>
      </c>
      <c r="O65" s="8" t="n">
        <v>0</v>
      </c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>
        <v>0</v>
      </c>
      <c r="H66" s="8" t="n">
        <v>2</v>
      </c>
      <c r="I66" s="8" t="n">
        <v>0</v>
      </c>
      <c r="J66" s="8" t="n">
        <v>2</v>
      </c>
      <c r="K66" s="8" t="n">
        <v>2</v>
      </c>
      <c r="L66" s="8" t="n">
        <v>4</v>
      </c>
      <c r="M66" s="8" t="n">
        <v>4</v>
      </c>
      <c r="N66" s="8" t="n">
        <v>0</v>
      </c>
      <c r="O66" s="8" t="n">
        <v>0</v>
      </c>
      <c r="P66" s="8" t="n">
        <v>3</v>
      </c>
      <c r="Q66" s="8" t="n">
        <v>0</v>
      </c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>
        <v>0</v>
      </c>
      <c r="I67" s="8" t="n">
        <v>0</v>
      </c>
      <c r="J67" s="8" t="n">
        <v>2</v>
      </c>
      <c r="K67" s="8" t="n">
        <v>2</v>
      </c>
      <c r="L67" s="8" t="n">
        <v>0</v>
      </c>
      <c r="M67" s="8" t="n">
        <v>4</v>
      </c>
      <c r="N67" s="8" t="n">
        <v>4</v>
      </c>
      <c r="O67" s="8" t="n">
        <v>0</v>
      </c>
      <c r="P67" s="8" t="n">
        <v>4</v>
      </c>
      <c r="Q67" s="8" t="n">
        <v>0</v>
      </c>
      <c r="R67" s="8" t="n">
        <v>0</v>
      </c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>
        <v>0</v>
      </c>
      <c r="H68" s="8" t="n">
        <v>2</v>
      </c>
      <c r="I68" s="8" t="n">
        <v>0</v>
      </c>
      <c r="J68" s="8" t="n">
        <v>0</v>
      </c>
      <c r="K68" s="8" t="n">
        <v>0</v>
      </c>
      <c r="L68" s="8" t="n">
        <v>3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0</v>
      </c>
      <c r="G69" s="8" t="n">
        <v>2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4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>
        <v>0</v>
      </c>
      <c r="K70" s="8" t="n">
        <v>0</v>
      </c>
      <c r="L70" s="8" t="n">
        <v>4</v>
      </c>
      <c r="M70" s="8" t="n">
        <v>4</v>
      </c>
      <c r="N70" s="8" t="n">
        <v>0</v>
      </c>
      <c r="O70" s="8" t="n">
        <v>0</v>
      </c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0</v>
      </c>
      <c r="G71" s="8" t="n">
        <v>2</v>
      </c>
      <c r="H71" s="8" t="n">
        <v>0</v>
      </c>
      <c r="I71" s="8" t="n">
        <v>2</v>
      </c>
      <c r="J71" s="8" t="n">
        <v>2</v>
      </c>
      <c r="K71" s="8" t="n">
        <v>0</v>
      </c>
      <c r="L71" s="8" t="n">
        <v>4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>
        <v>0</v>
      </c>
      <c r="G72" s="8" t="n">
        <v>2</v>
      </c>
      <c r="H72" s="8" t="n">
        <v>2</v>
      </c>
      <c r="I72" s="8" t="n">
        <v>2</v>
      </c>
      <c r="J72" s="8" t="n">
        <v>2</v>
      </c>
      <c r="K72" s="8" t="n">
        <v>0</v>
      </c>
      <c r="L72" s="8" t="n">
        <v>4</v>
      </c>
      <c r="M72" s="8" t="n">
        <v>3</v>
      </c>
      <c r="N72" s="8" t="n">
        <v>2</v>
      </c>
      <c r="O72" s="8" t="n">
        <v>0</v>
      </c>
      <c r="P72" s="8" t="n">
        <v>0</v>
      </c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>
        <v>0</v>
      </c>
      <c r="G73" s="8" t="n">
        <v>2</v>
      </c>
      <c r="H73" s="8" t="n">
        <v>2</v>
      </c>
      <c r="I73" s="8" t="n">
        <v>2</v>
      </c>
      <c r="J73" s="8" t="n">
        <v>2</v>
      </c>
      <c r="K73" s="8" t="n">
        <v>0</v>
      </c>
      <c r="L73" s="8" t="n">
        <v>4</v>
      </c>
      <c r="M73" s="8" t="n">
        <v>4</v>
      </c>
      <c r="N73" s="8" t="n">
        <v>0</v>
      </c>
      <c r="O73" s="8" t="n">
        <v>4</v>
      </c>
      <c r="P73" s="8" t="n">
        <v>0</v>
      </c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0</v>
      </c>
      <c r="G74" s="8" t="n">
        <v>2</v>
      </c>
      <c r="H74" s="8" t="n">
        <v>2</v>
      </c>
      <c r="I74" s="8" t="n">
        <v>0</v>
      </c>
      <c r="J74" s="8" t="n">
        <v>2</v>
      </c>
      <c r="K74" s="8" t="n">
        <v>2</v>
      </c>
      <c r="L74" s="8" t="n">
        <v>4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>
        <v>0</v>
      </c>
      <c r="J75" s="8" t="n">
        <v>2</v>
      </c>
      <c r="K75" s="8" t="n">
        <v>0</v>
      </c>
      <c r="L75" s="8" t="n">
        <v>4</v>
      </c>
      <c r="M75" s="8" t="n">
        <v>4</v>
      </c>
      <c r="N75" s="8" t="n">
        <v>4</v>
      </c>
      <c r="O75" s="8" t="n">
        <v>0</v>
      </c>
      <c r="P75" s="8" t="n">
        <v>0</v>
      </c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>
        <v>0</v>
      </c>
      <c r="K76" s="8" t="n">
        <v>0</v>
      </c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>
        <v>0</v>
      </c>
      <c r="R76" s="8" t="n">
        <v>0</v>
      </c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>
        <v>0</v>
      </c>
      <c r="K77" s="8" t="n">
        <v>0</v>
      </c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>
        <v>0</v>
      </c>
      <c r="R77" s="8" t="n">
        <v>0</v>
      </c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>
        <v>0</v>
      </c>
      <c r="K78" s="8" t="n">
        <v>0</v>
      </c>
      <c r="L78" s="8" t="n">
        <v>4</v>
      </c>
      <c r="M78" s="8" t="n">
        <v>0</v>
      </c>
      <c r="N78" s="8" t="n">
        <v>4</v>
      </c>
      <c r="O78" s="8" t="n">
        <v>4</v>
      </c>
      <c r="P78" s="8" t="n">
        <v>0</v>
      </c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4</v>
      </c>
      <c r="N79" s="8" t="n">
        <v>4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>
        <v>0</v>
      </c>
      <c r="K80" s="8" t="n">
        <v>0</v>
      </c>
      <c r="L80" s="8" t="n">
        <v>0</v>
      </c>
      <c r="M80" s="8" t="n">
        <v>4</v>
      </c>
      <c r="N80" s="8" t="n">
        <v>4</v>
      </c>
      <c r="O80" s="8" t="n">
        <v>2</v>
      </c>
      <c r="P80" s="8" t="n">
        <v>0</v>
      </c>
      <c r="Q80" s="8" t="n">
        <v>0</v>
      </c>
      <c r="R80" s="8" t="n">
        <v>0</v>
      </c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>
        <v>0</v>
      </c>
      <c r="G81" s="8" t="n">
        <v>2</v>
      </c>
      <c r="H81" s="8" t="n">
        <v>2</v>
      </c>
      <c r="I81" s="8" t="n">
        <v>0</v>
      </c>
      <c r="J81" s="8" t="n">
        <v>1</v>
      </c>
      <c r="K81" s="8" t="n">
        <v>2</v>
      </c>
      <c r="L81" s="8" t="n">
        <v>0</v>
      </c>
      <c r="M81" s="8" t="n">
        <v>0</v>
      </c>
      <c r="N81" s="8" t="n">
        <v>4</v>
      </c>
      <c r="O81" s="8" t="n">
        <v>2</v>
      </c>
      <c r="P81" s="8" t="n">
        <v>3</v>
      </c>
      <c r="Q81" s="8" t="n">
        <v>0</v>
      </c>
      <c r="R81" s="8" t="n">
        <v>0</v>
      </c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>
        <v>0</v>
      </c>
      <c r="J82" s="8" t="n">
        <v>2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4</v>
      </c>
      <c r="Q82" s="8" t="n">
        <v>0</v>
      </c>
      <c r="R82" s="8" t="n">
        <v>0</v>
      </c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>
        <v>0</v>
      </c>
      <c r="H83" s="8" t="n">
        <v>0</v>
      </c>
      <c r="I83" s="8" t="n">
        <v>0</v>
      </c>
      <c r="J83" s="8" t="n">
        <v>2</v>
      </c>
      <c r="K83" s="8" t="n">
        <v>2</v>
      </c>
      <c r="L83" s="8" t="n">
        <v>2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0</v>
      </c>
      <c r="F84" s="8" t="n">
        <v>0</v>
      </c>
      <c r="G84" s="8" t="n">
        <v>0</v>
      </c>
      <c r="H84" s="8" t="n">
        <v>1</v>
      </c>
      <c r="I84" s="8" t="n">
        <v>1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0</v>
      </c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>
        <v>0</v>
      </c>
      <c r="L85" s="8" t="n">
        <v>0</v>
      </c>
      <c r="M85" s="8" t="n">
        <v>0</v>
      </c>
      <c r="N85" s="8" t="n">
        <v>4</v>
      </c>
      <c r="O85" s="8" t="n">
        <v>1</v>
      </c>
      <c r="P85" s="8" t="n">
        <v>0</v>
      </c>
      <c r="Q85" s="8" t="n">
        <v>0</v>
      </c>
      <c r="R85" s="8" t="n">
        <v>0</v>
      </c>
      <c r="S85" s="8" t="n">
        <v>15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28">
        <f>IFERROR(ROUND(AVERAGE(S14:S85),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28">
        <f>COUNT(S14:S85)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28">
        <f>IF(AND(COUNT(S14:S85)&gt;0, S86&gt;0), ROUND(COUNTIF(S14:S85, "&gt;="&amp;S86) / COUNT(S14:S85) * 100, 2) &amp; "%", "0%")</f>
        <v/>
      </c>
    </row>
    <row r="89">
      <c r="A89" s="27" t="inlineStr">
        <is>
          <t>CO Attainment</t>
        </is>
      </c>
      <c r="E89" s="8" t="n">
        <v>0</v>
      </c>
      <c r="F89" s="8" t="n">
        <v>0</v>
      </c>
      <c r="G89" s="8" t="n">
        <v>2.71</v>
      </c>
      <c r="H89" s="8" t="n">
        <v>2.71</v>
      </c>
      <c r="I89" s="8" t="n">
        <v>2.71</v>
      </c>
      <c r="J89" s="8" t="n">
        <v>2.71</v>
      </c>
      <c r="K89" s="8" t="n">
        <v>2.76</v>
      </c>
      <c r="L89" s="8" t="n">
        <v>0</v>
      </c>
      <c r="M89" s="8" t="n">
        <v>2.71</v>
      </c>
      <c r="N89" s="8" t="n">
        <v>2.71</v>
      </c>
      <c r="O89" s="8" t="n">
        <v>2.71</v>
      </c>
      <c r="P89" s="8" t="n">
        <v>2.71</v>
      </c>
      <c r="Q89" s="8" t="n">
        <v>2.71</v>
      </c>
      <c r="R89" s="8" t="n">
        <v>2.76</v>
      </c>
      <c r="S89" s="28" t="n">
        <v>1.92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2.08</v>
      </c>
      <c r="D93" s="8" t="n">
        <v>0</v>
      </c>
    </row>
    <row r="94">
      <c r="B94" s="8" t="inlineStr">
        <is>
          <t>CO2</t>
        </is>
      </c>
      <c r="C94" s="9" t="n">
        <v>1.62</v>
      </c>
      <c r="D94" s="8" t="n">
        <v>2.71</v>
      </c>
    </row>
    <row r="95">
      <c r="B95" s="8" t="inlineStr">
        <is>
          <t>CO3</t>
        </is>
      </c>
      <c r="C95" s="9" t="n">
        <v>0.9399999999999999</v>
      </c>
      <c r="D95" s="8" t="n">
        <v>2.76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0</v>
      </c>
      <c r="I14" s="8" t="n">
        <v>0</v>
      </c>
      <c r="J14" s="8" t="n">
        <v>2</v>
      </c>
      <c r="K14" s="8" t="n">
        <v>1</v>
      </c>
      <c r="L14" s="8" t="n">
        <v>0</v>
      </c>
      <c r="M14" s="8" t="n">
        <v>0</v>
      </c>
      <c r="N14" s="8" t="n">
        <v>1</v>
      </c>
      <c r="O14" s="8" t="n">
        <v>3</v>
      </c>
      <c r="P14" s="8" t="n">
        <v>0</v>
      </c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0</v>
      </c>
      <c r="J15" s="8" t="n">
        <v>0</v>
      </c>
      <c r="K15" s="8" t="n">
        <v>2</v>
      </c>
      <c r="L15" s="8" t="n">
        <v>4</v>
      </c>
      <c r="M15" s="8" t="n">
        <v>4</v>
      </c>
      <c r="N15" s="8" t="n">
        <v>0</v>
      </c>
      <c r="O15" s="8" t="n">
        <v>2</v>
      </c>
      <c r="P15" s="8" t="n">
        <v>0</v>
      </c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2</v>
      </c>
      <c r="M17" s="8" t="n">
        <v>0</v>
      </c>
      <c r="N17" s="8" t="n">
        <v>0</v>
      </c>
      <c r="O17" s="8" t="n">
        <v>0</v>
      </c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0</v>
      </c>
      <c r="F18" s="8" t="n">
        <v>1</v>
      </c>
      <c r="G18" s="8" t="n">
        <v>1</v>
      </c>
      <c r="H18" s="8" t="n">
        <v>0</v>
      </c>
      <c r="I18" s="8" t="n">
        <v>2</v>
      </c>
      <c r="J18" s="8" t="n">
        <v>2</v>
      </c>
      <c r="K18" s="8" t="n">
        <v>2</v>
      </c>
      <c r="L18" s="8" t="n">
        <v>0</v>
      </c>
      <c r="M18" s="8" t="n">
        <v>0</v>
      </c>
      <c r="N18" s="8" t="n">
        <v>0</v>
      </c>
      <c r="O18" s="8" t="n">
        <v>4</v>
      </c>
      <c r="P18" s="8" t="n">
        <v>0</v>
      </c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2</v>
      </c>
      <c r="K19" s="8" t="n">
        <v>2</v>
      </c>
      <c r="L19" s="8" t="n">
        <v>4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>
        <v>0</v>
      </c>
      <c r="G20" s="8" t="n">
        <v>2</v>
      </c>
      <c r="H20" s="8" t="n">
        <v>0</v>
      </c>
      <c r="I20" s="8" t="n">
        <v>0</v>
      </c>
      <c r="J20" s="8" t="n">
        <v>2</v>
      </c>
      <c r="K20" s="8" t="n">
        <v>2</v>
      </c>
      <c r="L20" s="8" t="n">
        <v>3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0</v>
      </c>
      <c r="I21" s="8" t="n">
        <v>0</v>
      </c>
      <c r="J21" s="8" t="n">
        <v>2</v>
      </c>
      <c r="K21" s="8" t="n">
        <v>2</v>
      </c>
      <c r="L21" s="8" t="n">
        <v>0</v>
      </c>
      <c r="M21" s="8" t="n">
        <v>0</v>
      </c>
      <c r="N21" s="8" t="n">
        <v>0</v>
      </c>
      <c r="O21" s="8" t="n">
        <v>3</v>
      </c>
      <c r="P21" s="8" t="n">
        <v>0</v>
      </c>
      <c r="Q21" s="8" t="n">
        <v>0</v>
      </c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0</v>
      </c>
      <c r="F22" s="8" t="n">
        <v>2</v>
      </c>
      <c r="G22" s="8" t="n">
        <v>0</v>
      </c>
      <c r="H22" s="8" t="n">
        <v>0</v>
      </c>
      <c r="I22" s="8" t="n">
        <v>1</v>
      </c>
      <c r="J22" s="8" t="n">
        <v>2</v>
      </c>
      <c r="K22" s="8" t="n">
        <v>2</v>
      </c>
      <c r="L22" s="8" t="n">
        <v>0</v>
      </c>
      <c r="M22" s="8" t="n">
        <v>4</v>
      </c>
      <c r="N22" s="8" t="n">
        <v>0</v>
      </c>
      <c r="O22" s="8" t="n">
        <v>0</v>
      </c>
      <c r="P22" s="8" t="n">
        <v>0</v>
      </c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0</v>
      </c>
      <c r="F23" s="8" t="n">
        <v>0</v>
      </c>
      <c r="G23" s="8" t="n">
        <v>2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4</v>
      </c>
      <c r="M23" s="8" t="n">
        <v>4</v>
      </c>
      <c r="N23" s="8" t="n">
        <v>0</v>
      </c>
      <c r="O23" s="8" t="n">
        <v>4</v>
      </c>
      <c r="P23" s="8" t="n">
        <v>0</v>
      </c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>
        <v>0</v>
      </c>
      <c r="G24" s="8" t="n">
        <v>1</v>
      </c>
      <c r="H24" s="8" t="n">
        <v>2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2</v>
      </c>
      <c r="N24" s="8" t="n">
        <v>0</v>
      </c>
      <c r="O24" s="8" t="n">
        <v>3</v>
      </c>
      <c r="P24" s="8" t="n">
        <v>0</v>
      </c>
      <c r="Q24" s="8" t="n">
        <v>4</v>
      </c>
      <c r="R24" s="8" t="n">
        <v>0</v>
      </c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>
        <v>0</v>
      </c>
      <c r="J25" s="8" t="n">
        <v>0</v>
      </c>
      <c r="K25" s="8" t="n">
        <v>2</v>
      </c>
      <c r="L25" s="8" t="n">
        <v>4</v>
      </c>
      <c r="M25" s="8" t="n">
        <v>0</v>
      </c>
      <c r="N25" s="8" t="n">
        <v>0</v>
      </c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0</v>
      </c>
      <c r="F26" s="8" t="n">
        <v>1</v>
      </c>
      <c r="G26" s="8" t="n">
        <v>0</v>
      </c>
      <c r="H26" s="8" t="n">
        <v>0</v>
      </c>
      <c r="I26" s="8" t="n">
        <v>1</v>
      </c>
      <c r="J26" s="8" t="n">
        <v>0</v>
      </c>
      <c r="K26" s="8" t="n">
        <v>0</v>
      </c>
      <c r="L26" s="8" t="n">
        <v>0</v>
      </c>
      <c r="M26" s="8" t="n">
        <v>4</v>
      </c>
      <c r="N26" s="8" t="n">
        <v>0</v>
      </c>
      <c r="O26" s="8" t="n">
        <v>2</v>
      </c>
      <c r="P26" s="8" t="n">
        <v>0</v>
      </c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>
        <v>0</v>
      </c>
      <c r="H27" s="8" t="n">
        <v>0</v>
      </c>
      <c r="I27" s="8" t="n">
        <v>0</v>
      </c>
      <c r="J27" s="8" t="n">
        <v>1</v>
      </c>
      <c r="K27" s="8" t="n">
        <v>1</v>
      </c>
      <c r="L27" s="8" t="n">
        <v>0</v>
      </c>
      <c r="M27" s="8" t="n">
        <v>4</v>
      </c>
      <c r="N27" s="8" t="n">
        <v>2</v>
      </c>
      <c r="O27" s="8" t="n">
        <v>0</v>
      </c>
      <c r="P27" s="8" t="n">
        <v>0</v>
      </c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0</v>
      </c>
      <c r="J28" s="8" t="n">
        <v>0</v>
      </c>
      <c r="K28" s="8" t="n">
        <v>2</v>
      </c>
      <c r="L28" s="8" t="n">
        <v>4</v>
      </c>
      <c r="M28" s="8" t="n">
        <v>4</v>
      </c>
      <c r="N28" s="8" t="n">
        <v>0</v>
      </c>
      <c r="O28" s="8" t="n">
        <v>4</v>
      </c>
      <c r="P28" s="8" t="n">
        <v>4</v>
      </c>
      <c r="Q28" s="8" t="n">
        <v>4</v>
      </c>
      <c r="R28" s="8" t="n">
        <v>0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>
        <v>0</v>
      </c>
      <c r="K29" s="8" t="n">
        <v>0</v>
      </c>
      <c r="L29" s="8" t="n">
        <v>4</v>
      </c>
      <c r="M29" s="8" t="n">
        <v>4</v>
      </c>
      <c r="N29" s="8" t="n">
        <v>0</v>
      </c>
      <c r="O29" s="8" t="n">
        <v>4</v>
      </c>
      <c r="P29" s="8" t="n">
        <v>4</v>
      </c>
      <c r="Q29" s="8" t="n">
        <v>4</v>
      </c>
      <c r="R29" s="8" t="n">
        <v>0</v>
      </c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>
        <v>0</v>
      </c>
      <c r="J30" s="8" t="n">
        <v>1</v>
      </c>
      <c r="K30" s="8" t="n">
        <v>0</v>
      </c>
      <c r="L30" s="8" t="n">
        <v>4</v>
      </c>
      <c r="M30" s="8" t="n">
        <v>0</v>
      </c>
      <c r="N30" s="8" t="n">
        <v>0</v>
      </c>
      <c r="O30" s="8" t="n">
        <v>4</v>
      </c>
      <c r="P30" s="8" t="n">
        <v>0</v>
      </c>
      <c r="Q30" s="8" t="n">
        <v>0</v>
      </c>
      <c r="R30" s="8" t="n">
        <v>0</v>
      </c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0</v>
      </c>
      <c r="G31" s="8" t="n">
        <v>2</v>
      </c>
      <c r="H31" s="8" t="n">
        <v>0</v>
      </c>
      <c r="I31" s="8" t="n">
        <v>2</v>
      </c>
      <c r="J31" s="8" t="n">
        <v>0</v>
      </c>
      <c r="K31" s="8" t="n">
        <v>0</v>
      </c>
      <c r="L31" s="8" t="n">
        <v>0</v>
      </c>
      <c r="M31" s="8" t="n">
        <v>4</v>
      </c>
      <c r="N31" s="8" t="n">
        <v>4</v>
      </c>
      <c r="O31" s="8" t="n">
        <v>0</v>
      </c>
      <c r="P31" s="8" t="n">
        <v>4</v>
      </c>
      <c r="Q31" s="8" t="n">
        <v>4</v>
      </c>
      <c r="R31" s="8" t="n">
        <v>0</v>
      </c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0</v>
      </c>
      <c r="I32" s="8" t="n">
        <v>2</v>
      </c>
      <c r="J32" s="8" t="n">
        <v>0</v>
      </c>
      <c r="K32" s="8" t="n">
        <v>0</v>
      </c>
      <c r="L32" s="8" t="n">
        <v>4</v>
      </c>
      <c r="M32" s="8" t="n">
        <v>0</v>
      </c>
      <c r="N32" s="8" t="n">
        <v>2</v>
      </c>
      <c r="O32" s="8" t="n">
        <v>1</v>
      </c>
      <c r="P32" s="8" t="n">
        <v>0</v>
      </c>
      <c r="Q32" s="8" t="n">
        <v>0</v>
      </c>
      <c r="R32" s="8" t="n">
        <v>0</v>
      </c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3</v>
      </c>
      <c r="O33" s="8" t="n">
        <v>0</v>
      </c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0</v>
      </c>
      <c r="I34" s="8" t="n">
        <v>0</v>
      </c>
      <c r="J34" s="8" t="n">
        <v>2</v>
      </c>
      <c r="K34" s="8" t="n">
        <v>2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>
        <v>0</v>
      </c>
      <c r="H35" s="8" t="n">
        <v>2</v>
      </c>
      <c r="I35" s="8" t="n">
        <v>0</v>
      </c>
      <c r="J35" s="8" t="n">
        <v>1</v>
      </c>
      <c r="K35" s="8" t="n">
        <v>0</v>
      </c>
      <c r="L35" s="8" t="n">
        <v>3</v>
      </c>
      <c r="M35" s="8" t="n">
        <v>4</v>
      </c>
      <c r="N35" s="8" t="n">
        <v>2</v>
      </c>
      <c r="O35" s="8" t="n">
        <v>2</v>
      </c>
      <c r="P35" s="8" t="n">
        <v>0</v>
      </c>
      <c r="Q35" s="8" t="n">
        <v>4</v>
      </c>
      <c r="R35" s="8" t="n">
        <v>0</v>
      </c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>
        <v>0</v>
      </c>
      <c r="H36" s="8" t="n">
        <v>0</v>
      </c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>
        <v>0</v>
      </c>
      <c r="O36" s="8" t="n">
        <v>0</v>
      </c>
      <c r="P36" s="8" t="n">
        <v>0</v>
      </c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1</v>
      </c>
      <c r="R37" s="8" t="n">
        <v>0</v>
      </c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>
        <v>0</v>
      </c>
      <c r="I38" s="8" t="n">
        <v>0</v>
      </c>
      <c r="J38" s="8" t="n">
        <v>2</v>
      </c>
      <c r="K38" s="8" t="n">
        <v>2</v>
      </c>
      <c r="L38" s="8" t="n">
        <v>4</v>
      </c>
      <c r="M38" s="8" t="n">
        <v>0</v>
      </c>
      <c r="N38" s="8" t="n">
        <v>0</v>
      </c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0</v>
      </c>
      <c r="I39" s="8" t="n">
        <v>0</v>
      </c>
      <c r="J39" s="8" t="n">
        <v>2</v>
      </c>
      <c r="K39" s="8" t="n">
        <v>0</v>
      </c>
      <c r="L39" s="8" t="n">
        <v>2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0</v>
      </c>
      <c r="H40" s="8" t="n">
        <v>2</v>
      </c>
      <c r="I40" s="8" t="n">
        <v>0</v>
      </c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>
        <v>0</v>
      </c>
      <c r="R40" s="8" t="n">
        <v>0</v>
      </c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>
        <v>0</v>
      </c>
      <c r="I41" s="8" t="n">
        <v>0</v>
      </c>
      <c r="J41" s="8" t="n">
        <v>2</v>
      </c>
      <c r="K41" s="8" t="n">
        <v>0</v>
      </c>
      <c r="L41" s="8" t="n">
        <v>0</v>
      </c>
      <c r="M41" s="8" t="n">
        <v>4</v>
      </c>
      <c r="N41" s="8" t="n">
        <v>3</v>
      </c>
      <c r="O41" s="8" t="n">
        <v>3</v>
      </c>
      <c r="P41" s="8" t="n">
        <v>0</v>
      </c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0</v>
      </c>
      <c r="K42" s="8" t="n">
        <v>0</v>
      </c>
      <c r="L42" s="8" t="n">
        <v>4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0</v>
      </c>
      <c r="G43" s="8" t="n">
        <v>2</v>
      </c>
      <c r="H43" s="8" t="n">
        <v>0</v>
      </c>
      <c r="I43" s="8" t="n">
        <v>2</v>
      </c>
      <c r="J43" s="8" t="n">
        <v>2</v>
      </c>
      <c r="K43" s="8" t="n">
        <v>2</v>
      </c>
      <c r="L43" s="8" t="n">
        <v>4</v>
      </c>
      <c r="M43" s="8" t="n">
        <v>0</v>
      </c>
      <c r="N43" s="8" t="n">
        <v>0</v>
      </c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0</v>
      </c>
      <c r="G44" s="8" t="n">
        <v>2</v>
      </c>
      <c r="H44" s="8" t="n">
        <v>0</v>
      </c>
      <c r="I44" s="8" t="n">
        <v>2</v>
      </c>
      <c r="J44" s="8" t="n">
        <v>2</v>
      </c>
      <c r="K44" s="8" t="n">
        <v>2</v>
      </c>
      <c r="L44" s="8" t="n">
        <v>3</v>
      </c>
      <c r="M44" s="8" t="n">
        <v>0</v>
      </c>
      <c r="N44" s="8" t="n">
        <v>4</v>
      </c>
      <c r="O44" s="8" t="n">
        <v>4</v>
      </c>
      <c r="P44" s="8" t="n">
        <v>0</v>
      </c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0</v>
      </c>
      <c r="I45" s="8" t="n">
        <v>0</v>
      </c>
      <c r="J45" s="8" t="n">
        <v>2</v>
      </c>
      <c r="K45" s="8" t="n">
        <v>2</v>
      </c>
      <c r="L45" s="8" t="n">
        <v>1</v>
      </c>
      <c r="M45" s="8" t="n">
        <v>1</v>
      </c>
      <c r="N45" s="8" t="n">
        <v>0</v>
      </c>
      <c r="O45" s="8" t="n">
        <v>3</v>
      </c>
      <c r="P45" s="8" t="n">
        <v>0</v>
      </c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>
        <v>0</v>
      </c>
      <c r="H46" s="8" t="n">
        <v>0</v>
      </c>
      <c r="I46" s="8" t="n">
        <v>2</v>
      </c>
      <c r="J46" s="8" t="n">
        <v>2</v>
      </c>
      <c r="K46" s="8" t="n">
        <v>2</v>
      </c>
      <c r="L46" s="8" t="n">
        <v>0</v>
      </c>
      <c r="M46" s="8" t="n">
        <v>4</v>
      </c>
      <c r="N46" s="8" t="n">
        <v>0</v>
      </c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0</v>
      </c>
      <c r="I47" s="8" t="n">
        <v>0</v>
      </c>
      <c r="J47" s="8" t="n">
        <v>2</v>
      </c>
      <c r="K47" s="8" t="n">
        <v>2</v>
      </c>
      <c r="L47" s="8" t="n">
        <v>4</v>
      </c>
      <c r="M47" s="8" t="n">
        <v>4</v>
      </c>
      <c r="N47" s="8" t="n">
        <v>0</v>
      </c>
      <c r="O47" s="8" t="n">
        <v>0</v>
      </c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>
        <v>0</v>
      </c>
      <c r="J48" s="8" t="n">
        <v>0</v>
      </c>
      <c r="K48" s="8" t="n">
        <v>2</v>
      </c>
      <c r="L48" s="8" t="n">
        <v>3</v>
      </c>
      <c r="M48" s="8" t="n">
        <v>4</v>
      </c>
      <c r="N48" s="8" t="n">
        <v>0</v>
      </c>
      <c r="O48" s="8" t="n">
        <v>0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>
        <v>0</v>
      </c>
      <c r="H49" s="8" t="n">
        <v>0</v>
      </c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>
        <v>0</v>
      </c>
      <c r="Q49" s="8" t="n">
        <v>0</v>
      </c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>
        <v>0</v>
      </c>
      <c r="G50" s="8" t="n">
        <v>0</v>
      </c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>
        <v>0</v>
      </c>
      <c r="R50" s="8" t="n">
        <v>0</v>
      </c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0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4</v>
      </c>
      <c r="M51" s="8" t="n">
        <v>0</v>
      </c>
      <c r="N51" s="8" t="n">
        <v>4</v>
      </c>
      <c r="O51" s="8" t="n">
        <v>4</v>
      </c>
      <c r="P51" s="8" t="n">
        <v>0</v>
      </c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2</v>
      </c>
      <c r="K52" s="8" t="n">
        <v>0</v>
      </c>
      <c r="L52" s="8" t="n">
        <v>0</v>
      </c>
      <c r="M52" s="8" t="n">
        <v>0</v>
      </c>
      <c r="N52" s="8" t="n">
        <v>1</v>
      </c>
      <c r="O52" s="8" t="n">
        <v>1</v>
      </c>
      <c r="P52" s="8" t="n">
        <v>0</v>
      </c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>
        <v>0</v>
      </c>
      <c r="I53" s="8" t="n">
        <v>0</v>
      </c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>
        <v>0</v>
      </c>
      <c r="P53" s="8" t="n">
        <v>0</v>
      </c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>
        <v>0</v>
      </c>
      <c r="K54" s="8" t="n">
        <v>0</v>
      </c>
      <c r="L54" s="8" t="n">
        <v>2</v>
      </c>
      <c r="M54" s="8" t="n">
        <v>4</v>
      </c>
      <c r="N54" s="8" t="n">
        <v>4</v>
      </c>
      <c r="O54" s="8" t="n">
        <v>0</v>
      </c>
      <c r="P54" s="8" t="n">
        <v>4</v>
      </c>
      <c r="Q54" s="8" t="n">
        <v>0</v>
      </c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>
        <v>0</v>
      </c>
      <c r="I55" s="8" t="n">
        <v>0</v>
      </c>
      <c r="J55" s="8" t="n">
        <v>2</v>
      </c>
      <c r="K55" s="8" t="n">
        <v>2</v>
      </c>
      <c r="L55" s="8" t="n">
        <v>3</v>
      </c>
      <c r="M55" s="8" t="n">
        <v>0</v>
      </c>
      <c r="N55" s="8" t="n">
        <v>0</v>
      </c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>
        <v>0</v>
      </c>
      <c r="I56" s="8" t="n">
        <v>0</v>
      </c>
      <c r="J56" s="8" t="n">
        <v>2</v>
      </c>
      <c r="K56" s="8" t="n">
        <v>1</v>
      </c>
      <c r="L56" s="8" t="n">
        <v>4</v>
      </c>
      <c r="M56" s="8" t="n">
        <v>3</v>
      </c>
      <c r="N56" s="8" t="n">
        <v>0</v>
      </c>
      <c r="O56" s="8" t="n">
        <v>4</v>
      </c>
      <c r="P56" s="8" t="n">
        <v>0</v>
      </c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>
        <v>0</v>
      </c>
      <c r="I57" s="8" t="n">
        <v>2</v>
      </c>
      <c r="J57" s="8" t="n">
        <v>2</v>
      </c>
      <c r="K57" s="8" t="n">
        <v>0</v>
      </c>
      <c r="L57" s="8" t="n">
        <v>4</v>
      </c>
      <c r="M57" s="8" t="n">
        <v>3</v>
      </c>
      <c r="N57" s="8" t="n">
        <v>0</v>
      </c>
      <c r="O57" s="8" t="n">
        <v>4</v>
      </c>
      <c r="P57" s="8" t="n">
        <v>4</v>
      </c>
      <c r="Q57" s="8" t="n">
        <v>0</v>
      </c>
      <c r="R57" s="8" t="n">
        <v>0</v>
      </c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>
        <v>0</v>
      </c>
      <c r="I58" s="8" t="n">
        <v>0</v>
      </c>
      <c r="J58" s="8" t="n">
        <v>2</v>
      </c>
      <c r="K58" s="8" t="n">
        <v>2</v>
      </c>
      <c r="L58" s="8" t="n">
        <v>3</v>
      </c>
      <c r="M58" s="8" t="n">
        <v>0</v>
      </c>
      <c r="N58" s="8" t="n">
        <v>0</v>
      </c>
      <c r="O58" s="8" t="n">
        <v>3</v>
      </c>
      <c r="P58" s="8" t="n">
        <v>0</v>
      </c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>
        <v>0</v>
      </c>
      <c r="G59" s="8" t="n">
        <v>2</v>
      </c>
      <c r="H59" s="8" t="n">
        <v>0</v>
      </c>
      <c r="I59" s="8" t="n">
        <v>2</v>
      </c>
      <c r="J59" s="8" t="n">
        <v>0</v>
      </c>
      <c r="K59" s="8" t="n">
        <v>0</v>
      </c>
      <c r="L59" s="8" t="n">
        <v>0</v>
      </c>
      <c r="M59" s="8" t="n">
        <v>4</v>
      </c>
      <c r="N59" s="8" t="n">
        <v>1</v>
      </c>
      <c r="O59" s="8" t="n">
        <v>4</v>
      </c>
      <c r="P59" s="8" t="n">
        <v>4</v>
      </c>
      <c r="Q59" s="8" t="n">
        <v>0</v>
      </c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>
        <v>0</v>
      </c>
      <c r="G60" s="8" t="n">
        <v>2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4</v>
      </c>
      <c r="N60" s="8" t="n">
        <v>4</v>
      </c>
      <c r="O60" s="8" t="n">
        <v>0</v>
      </c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0</v>
      </c>
      <c r="F61" s="8" t="n">
        <v>0</v>
      </c>
      <c r="G61" s="8" t="n">
        <v>2</v>
      </c>
      <c r="H61" s="8" t="n">
        <v>0</v>
      </c>
      <c r="I61" s="8" t="n">
        <v>0</v>
      </c>
      <c r="J61" s="8" t="n">
        <v>0</v>
      </c>
      <c r="K61" s="8" t="n">
        <v>2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0</v>
      </c>
      <c r="I62" s="8" t="n">
        <v>2</v>
      </c>
      <c r="J62" s="8" t="n">
        <v>2</v>
      </c>
      <c r="K62" s="8" t="n">
        <v>0</v>
      </c>
      <c r="L62" s="8" t="n">
        <v>0</v>
      </c>
      <c r="M62" s="8" t="n">
        <v>0</v>
      </c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>
        <v>0</v>
      </c>
      <c r="H63" s="8" t="n">
        <v>0</v>
      </c>
      <c r="I63" s="8" t="n">
        <v>0</v>
      </c>
      <c r="J63" s="8" t="n">
        <v>2</v>
      </c>
      <c r="K63" s="8" t="n">
        <v>0</v>
      </c>
      <c r="L63" s="8" t="n">
        <v>1</v>
      </c>
      <c r="M63" s="8" t="n">
        <v>1</v>
      </c>
      <c r="N63" s="8" t="n">
        <v>1</v>
      </c>
      <c r="O63" s="8" t="n">
        <v>0</v>
      </c>
      <c r="P63" s="8" t="n">
        <v>0</v>
      </c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>
        <v>0</v>
      </c>
      <c r="H64" s="8" t="n">
        <v>0</v>
      </c>
      <c r="I64" s="8" t="n">
        <v>0</v>
      </c>
      <c r="J64" s="8" t="n">
        <v>2</v>
      </c>
      <c r="K64" s="8" t="n">
        <v>0</v>
      </c>
      <c r="L64" s="8" t="n">
        <v>1</v>
      </c>
      <c r="M64" s="8" t="n">
        <v>0</v>
      </c>
      <c r="N64" s="8" t="n">
        <v>0</v>
      </c>
      <c r="O64" s="8" t="n">
        <v>0</v>
      </c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0</v>
      </c>
      <c r="G65" s="8" t="n">
        <v>0</v>
      </c>
      <c r="H65" s="8" t="n">
        <v>1</v>
      </c>
      <c r="I65" s="8" t="n">
        <v>0</v>
      </c>
      <c r="J65" s="8" t="n">
        <v>2</v>
      </c>
      <c r="K65" s="8" t="n">
        <v>0</v>
      </c>
      <c r="L65" s="8" t="n">
        <v>3</v>
      </c>
      <c r="M65" s="8" t="n">
        <v>0</v>
      </c>
      <c r="N65" s="8" t="n">
        <v>0</v>
      </c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>
        <v>0</v>
      </c>
      <c r="H66" s="8" t="n">
        <v>0</v>
      </c>
      <c r="I66" s="8" t="n">
        <v>0</v>
      </c>
      <c r="J66" s="8" t="n">
        <v>2</v>
      </c>
      <c r="K66" s="8" t="n">
        <v>0</v>
      </c>
      <c r="L66" s="8" t="n">
        <v>4</v>
      </c>
      <c r="M66" s="8" t="n">
        <v>2</v>
      </c>
      <c r="N66" s="8" t="n">
        <v>0</v>
      </c>
      <c r="O66" s="8" t="n">
        <v>0</v>
      </c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0</v>
      </c>
      <c r="H67" s="8" t="n">
        <v>0</v>
      </c>
      <c r="I67" s="8" t="n">
        <v>0</v>
      </c>
      <c r="J67" s="8" t="n">
        <v>2</v>
      </c>
      <c r="K67" s="8" t="n">
        <v>0</v>
      </c>
      <c r="L67" s="8" t="n">
        <v>3</v>
      </c>
      <c r="M67" s="8" t="n">
        <v>2</v>
      </c>
      <c r="N67" s="8" t="n">
        <v>0</v>
      </c>
      <c r="O67" s="8" t="n">
        <v>0</v>
      </c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2</v>
      </c>
      <c r="K68" s="8" t="n">
        <v>2</v>
      </c>
      <c r="L68" s="8" t="n">
        <v>0</v>
      </c>
      <c r="M68" s="8" t="n">
        <v>2</v>
      </c>
      <c r="N68" s="8" t="n">
        <v>0</v>
      </c>
      <c r="O68" s="8" t="n">
        <v>0</v>
      </c>
      <c r="P68" s="8" t="n">
        <v>4</v>
      </c>
      <c r="Q68" s="8" t="n">
        <v>4</v>
      </c>
      <c r="R68" s="8" t="n">
        <v>0</v>
      </c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>
        <v>0</v>
      </c>
      <c r="I69" s="8" t="n">
        <v>0</v>
      </c>
      <c r="J69" s="8" t="n">
        <v>2</v>
      </c>
      <c r="K69" s="8" t="n">
        <v>2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2</v>
      </c>
      <c r="K70" s="8" t="n">
        <v>2</v>
      </c>
      <c r="L70" s="8" t="n">
        <v>1</v>
      </c>
      <c r="M70" s="8" t="n">
        <v>4</v>
      </c>
      <c r="N70" s="8" t="n">
        <v>0</v>
      </c>
      <c r="O70" s="8" t="n">
        <v>4</v>
      </c>
      <c r="P70" s="8" t="n">
        <v>0</v>
      </c>
      <c r="Q70" s="8" t="n">
        <v>0</v>
      </c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>
        <v>0</v>
      </c>
      <c r="J71" s="8" t="n">
        <v>0</v>
      </c>
      <c r="K71" s="8" t="n">
        <v>0</v>
      </c>
      <c r="L71" s="8" t="n">
        <v>4</v>
      </c>
      <c r="M71" s="8" t="n">
        <v>0</v>
      </c>
      <c r="N71" s="8" t="n">
        <v>0</v>
      </c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>
        <v>0</v>
      </c>
      <c r="I72" s="8" t="n">
        <v>0</v>
      </c>
      <c r="J72" s="8" t="n">
        <v>2</v>
      </c>
      <c r="K72" s="8" t="n">
        <v>0</v>
      </c>
      <c r="L72" s="8" t="n">
        <v>4</v>
      </c>
      <c r="M72" s="8" t="n">
        <v>3</v>
      </c>
      <c r="N72" s="8" t="n">
        <v>0</v>
      </c>
      <c r="O72" s="8" t="n">
        <v>0</v>
      </c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>
        <v>0</v>
      </c>
      <c r="I73" s="8" t="n">
        <v>1</v>
      </c>
      <c r="J73" s="8" t="n">
        <v>2</v>
      </c>
      <c r="K73" s="8" t="n">
        <v>0</v>
      </c>
      <c r="L73" s="8" t="n">
        <v>4</v>
      </c>
      <c r="M73" s="8" t="n">
        <v>0</v>
      </c>
      <c r="N73" s="8" t="n">
        <v>0</v>
      </c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>
        <v>0</v>
      </c>
      <c r="H74" s="8" t="n">
        <v>0</v>
      </c>
      <c r="I74" s="8" t="n">
        <v>0</v>
      </c>
      <c r="J74" s="8" t="n">
        <v>2</v>
      </c>
      <c r="K74" s="8" t="n">
        <v>2</v>
      </c>
      <c r="L74" s="8" t="n">
        <v>0</v>
      </c>
      <c r="M74" s="8" t="n">
        <v>0</v>
      </c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0</v>
      </c>
      <c r="H75" s="8" t="n">
        <v>0</v>
      </c>
      <c r="I75" s="8" t="n">
        <v>2</v>
      </c>
      <c r="J75" s="8" t="n">
        <v>2</v>
      </c>
      <c r="K75" s="8" t="n">
        <v>2</v>
      </c>
      <c r="L75" s="8" t="n">
        <v>0</v>
      </c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>
        <v>0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0</v>
      </c>
      <c r="H76" s="8" t="n">
        <v>0</v>
      </c>
      <c r="I76" s="8" t="n">
        <v>2</v>
      </c>
      <c r="J76" s="8" t="n">
        <v>2</v>
      </c>
      <c r="K76" s="8" t="n">
        <v>2</v>
      </c>
      <c r="L76" s="8" t="n">
        <v>0</v>
      </c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>
        <v>0</v>
      </c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0</v>
      </c>
      <c r="H77" s="8" t="n">
        <v>0</v>
      </c>
      <c r="I77" s="8" t="n">
        <v>2</v>
      </c>
      <c r="J77" s="8" t="n">
        <v>2</v>
      </c>
      <c r="K77" s="8" t="n">
        <v>2</v>
      </c>
      <c r="L77" s="8" t="n">
        <v>0</v>
      </c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>
        <v>0</v>
      </c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>
        <v>0</v>
      </c>
      <c r="K78" s="8" t="n">
        <v>0</v>
      </c>
      <c r="L78" s="8" t="n">
        <v>4</v>
      </c>
      <c r="M78" s="8" t="n">
        <v>4</v>
      </c>
      <c r="N78" s="8" t="n">
        <v>4</v>
      </c>
      <c r="O78" s="8" t="n">
        <v>4</v>
      </c>
      <c r="P78" s="8" t="n">
        <v>0</v>
      </c>
      <c r="Q78" s="8" t="n">
        <v>4</v>
      </c>
      <c r="R78" s="8" t="n">
        <v>0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0</v>
      </c>
      <c r="F79" s="8" t="n">
        <v>0</v>
      </c>
      <c r="G79" s="8" t="n">
        <v>2</v>
      </c>
      <c r="H79" s="8" t="n">
        <v>0</v>
      </c>
      <c r="I79" s="8" t="n">
        <v>1</v>
      </c>
      <c r="J79" s="8" t="n">
        <v>0</v>
      </c>
      <c r="K79" s="8" t="n">
        <v>0</v>
      </c>
      <c r="L79" s="8" t="n">
        <v>0</v>
      </c>
      <c r="M79" s="8" t="n">
        <v>4</v>
      </c>
      <c r="N79" s="8" t="n">
        <v>0</v>
      </c>
      <c r="O79" s="8" t="n">
        <v>1</v>
      </c>
      <c r="P79" s="8" t="n">
        <v>0</v>
      </c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>
        <v>0</v>
      </c>
      <c r="K80" s="8" t="n">
        <v>0</v>
      </c>
      <c r="L80" s="8" t="n">
        <v>4</v>
      </c>
      <c r="M80" s="8" t="n">
        <v>4</v>
      </c>
      <c r="N80" s="8" t="n">
        <v>4</v>
      </c>
      <c r="O80" s="8" t="n">
        <v>4</v>
      </c>
      <c r="P80" s="8" t="n">
        <v>0</v>
      </c>
      <c r="Q80" s="8" t="n">
        <v>0</v>
      </c>
      <c r="R80" s="8" t="n">
        <v>0</v>
      </c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0</v>
      </c>
      <c r="F81" s="8" t="n">
        <v>0</v>
      </c>
      <c r="G81" s="8" t="n">
        <v>0</v>
      </c>
      <c r="H81" s="8" t="n">
        <v>2</v>
      </c>
      <c r="I81" s="8" t="n">
        <v>0</v>
      </c>
      <c r="J81" s="8" t="n">
        <v>0</v>
      </c>
      <c r="K81" s="8" t="n">
        <v>2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0</v>
      </c>
      <c r="G82" s="8" t="n">
        <v>2</v>
      </c>
      <c r="H82" s="8" t="n">
        <v>1</v>
      </c>
      <c r="I82" s="8" t="n">
        <v>2</v>
      </c>
      <c r="J82" s="8" t="n">
        <v>0</v>
      </c>
      <c r="K82" s="8" t="n">
        <v>2</v>
      </c>
      <c r="L82" s="8" t="n">
        <v>4</v>
      </c>
      <c r="M82" s="8" t="n">
        <v>0</v>
      </c>
      <c r="N82" s="8" t="n">
        <v>2</v>
      </c>
      <c r="O82" s="8" t="n">
        <v>0</v>
      </c>
      <c r="P82" s="8" t="n">
        <v>0</v>
      </c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0</v>
      </c>
      <c r="G83" s="8" t="n">
        <v>0</v>
      </c>
      <c r="H83" s="8" t="n">
        <v>2</v>
      </c>
      <c r="I83" s="8" t="n">
        <v>0</v>
      </c>
      <c r="J83" s="8" t="n">
        <v>2</v>
      </c>
      <c r="K83" s="8" t="n">
        <v>0</v>
      </c>
      <c r="L83" s="8" t="n">
        <v>0</v>
      </c>
      <c r="M83" s="8" t="n">
        <v>4</v>
      </c>
      <c r="N83" s="8" t="n">
        <v>0</v>
      </c>
      <c r="O83" s="8" t="n">
        <v>4</v>
      </c>
      <c r="P83" s="8" t="n">
        <v>0</v>
      </c>
      <c r="Q83" s="8" t="n">
        <v>0</v>
      </c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2</v>
      </c>
      <c r="N84" s="8" t="n">
        <v>0</v>
      </c>
      <c r="O84" s="8" t="n">
        <v>3</v>
      </c>
      <c r="P84" s="8" t="n">
        <v>2</v>
      </c>
      <c r="Q84" s="8" t="n">
        <v>4</v>
      </c>
      <c r="R84" s="8" t="n">
        <v>0</v>
      </c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>
        <v>0</v>
      </c>
      <c r="G85" s="8" t="n">
        <v>2</v>
      </c>
      <c r="H85" s="8" t="n">
        <v>0</v>
      </c>
      <c r="I85" s="8" t="n">
        <v>1</v>
      </c>
      <c r="J85" s="8" t="n">
        <v>2</v>
      </c>
      <c r="K85" s="8" t="n">
        <v>2</v>
      </c>
      <c r="L85" s="8" t="n">
        <v>4</v>
      </c>
      <c r="M85" s="8" t="n">
        <v>0</v>
      </c>
      <c r="N85" s="8" t="n">
        <v>3</v>
      </c>
      <c r="O85" s="8" t="n">
        <v>4</v>
      </c>
      <c r="P85" s="8" t="n">
        <v>2</v>
      </c>
      <c r="Q85" s="8" t="n">
        <v>4</v>
      </c>
      <c r="R85" s="8" t="n">
        <v>0</v>
      </c>
      <c r="S85" s="8" t="n">
        <v>26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28">
        <f>IFERROR(ROUND(AVERAGE(S14:S85),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28">
        <f>COUNT(S14:S85)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28">
        <f>IF(AND(COUNT(S14:S85)&gt;0, S86&gt;0), ROUND(COUNTIF(S14:S85, "&gt;="&amp;S86) / COUNT(S14:S85) * 100, 2) &amp; "%", "0%")</f>
        <v/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3</v>
      </c>
      <c r="M89" s="8" t="n">
        <v>3</v>
      </c>
      <c r="N89" s="8" t="n">
        <v>3</v>
      </c>
      <c r="O89" s="8" t="n">
        <v>3</v>
      </c>
      <c r="P89" s="8" t="n">
        <v>3</v>
      </c>
      <c r="Q89" s="8" t="n">
        <v>3</v>
      </c>
      <c r="R89" s="8" t="n">
        <v>3</v>
      </c>
      <c r="S89" s="28" t="n">
        <v>1.67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1.44</v>
      </c>
      <c r="D93" s="8" t="n">
        <v>3</v>
      </c>
    </row>
    <row r="94">
      <c r="B94" s="8" t="inlineStr">
        <is>
          <t>CO5</t>
        </is>
      </c>
      <c r="C94" s="9" t="n">
        <v>1.63</v>
      </c>
      <c r="D94" s="8" t="n">
        <v>3</v>
      </c>
    </row>
    <row r="95">
      <c r="B95" s="8" t="inlineStr">
        <is>
          <t>CO6</t>
        </is>
      </c>
      <c r="C95" s="9" t="n">
        <v>1.8</v>
      </c>
      <c r="D95" s="8" t="n">
        <v>3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8">
        <f>IFERROR(ROUND(AVERAGE(S14:S85), 2), 0)</f>
        <v/>
      </c>
      <c r="T86" s="8">
        <f>IFERROR(ROUND(AVERAGE(T14:T85), 2), 0)</f>
        <v/>
      </c>
      <c r="U86" s="8">
        <f>IFERROR(ROUND(AVERAGE(U14:U85), 2), 0)</f>
        <v/>
      </c>
      <c r="V86" s="8">
        <f>IFERROR(ROUND(AVERAGE(V14:V85), 2), 0)</f>
        <v/>
      </c>
      <c r="W86" s="8">
        <f>IFERROR(ROUND(AVERAGE(W14:W85), 2), 0)</f>
        <v/>
      </c>
      <c r="X86" s="8">
        <f>IFERROR(ROUND(AVERAGE(X14:X85), 2), 0)</f>
        <v/>
      </c>
      <c r="Y86" s="8">
        <f>IFERROR(ROUND(AVERAGE(Y14:Y85), 2), 0)</f>
        <v/>
      </c>
      <c r="Z86" s="8">
        <f>IFERROR(ROUND(AVERAGE(Z14:Z85), 2), 0)</f>
        <v/>
      </c>
      <c r="AA86" s="8">
        <f>IFERROR(ROUND(AVERAGE(AA14:AA85), 2), 0)</f>
        <v/>
      </c>
      <c r="AB86" s="8">
        <f>IFERROR(ROUND(AVERAGE(AB14:AB85), 2), 0)</f>
        <v/>
      </c>
      <c r="AC86" s="8">
        <f>IFERROR(ROUND(AVERAGE(AC14:AC85), 2), 0)</f>
        <v/>
      </c>
      <c r="AD86" s="8">
        <f>IFERROR(ROUND(AVERAGE(AD14:AD85), 2), 0)</f>
        <v/>
      </c>
      <c r="AE86" s="8">
        <f>IFERROR(ROUND(AVERAGE(AE14:AE85), 2), 0)</f>
        <v/>
      </c>
      <c r="AF86" s="28">
        <f>IFERROR(ROUND(AVERAGE(AF14:AF85),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8">
        <f>COUNT(S14:S85)</f>
        <v/>
      </c>
      <c r="T87" s="8">
        <f>COUNT(T14:T85)</f>
        <v/>
      </c>
      <c r="U87" s="8">
        <f>COUNT(U14:U85)</f>
        <v/>
      </c>
      <c r="V87" s="8">
        <f>COUNT(V14:V85)</f>
        <v/>
      </c>
      <c r="W87" s="8">
        <f>COUNT(W14:W85)</f>
        <v/>
      </c>
      <c r="X87" s="8">
        <f>COUNT(X14:X85)</f>
        <v/>
      </c>
      <c r="Y87" s="8">
        <f>COUNT(Y14:Y85)</f>
        <v/>
      </c>
      <c r="Z87" s="8">
        <f>COUNT(Z14:Z85)</f>
        <v/>
      </c>
      <c r="AA87" s="8">
        <f>COUNT(AA14:AA85)</f>
        <v/>
      </c>
      <c r="AB87" s="8">
        <f>COUNT(AB14:AB85)</f>
        <v/>
      </c>
      <c r="AC87" s="8">
        <f>COUNT(AC14:AC85)</f>
        <v/>
      </c>
      <c r="AD87" s="8">
        <f>COUNT(AD14:AD85)</f>
        <v/>
      </c>
      <c r="AE87" s="8">
        <f>COUNT(AE14:AE85)</f>
        <v/>
      </c>
      <c r="AF87" s="28">
        <f>COUNT(AF14:AF85)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8">
        <f>IF(AND(COUNT(S14:S85)&gt;0, S86&gt;0), ROUND(COUNTIF(S14:S85, "&gt;="&amp;S86) / COUNT(S14:S85) * 100, 2) &amp; "%", "0%")</f>
        <v/>
      </c>
      <c r="T88" s="8">
        <f>IF(AND(COUNT(T14:T85)&gt;0, T86&gt;0), ROUND(COUNTIF(T14:T85, "&gt;="&amp;T86) / COUNT(T14:T85) * 100, 2) &amp; "%", "0%")</f>
        <v/>
      </c>
      <c r="U88" s="8">
        <f>IF(AND(COUNT(U14:U85)&gt;0, U86&gt;0), ROUND(COUNTIF(U14:U85, "&gt;="&amp;U86) / COUNT(U14:U85) * 100, 2) &amp; "%", "0%")</f>
        <v/>
      </c>
      <c r="V88" s="8">
        <f>IF(AND(COUNT(V14:V85)&gt;0, V86&gt;0), ROUND(COUNTIF(V14:V85, "&gt;="&amp;V86) / COUNT(V14:V85) * 100, 2) &amp; "%", "0%")</f>
        <v/>
      </c>
      <c r="W88" s="8">
        <f>IF(AND(COUNT(W14:W85)&gt;0, W86&gt;0), ROUND(COUNTIF(W14:W85, "&gt;="&amp;W86) / COUNT(W14:W85) * 100, 2) &amp; "%", "0%")</f>
        <v/>
      </c>
      <c r="X88" s="8">
        <f>IF(AND(COUNT(X14:X85)&gt;0, X86&gt;0), ROUND(COUNTIF(X14:X85, "&gt;="&amp;X86) / COUNT(X14:X85) * 100, 2) &amp; "%", "0%")</f>
        <v/>
      </c>
      <c r="Y88" s="8">
        <f>IF(AND(COUNT(Y14:Y85)&gt;0, Y86&gt;0), ROUND(COUNTIF(Y14:Y85, "&gt;="&amp;Y86) / COUNT(Y14:Y85) * 100, 2) &amp; "%", "0%")</f>
        <v/>
      </c>
      <c r="Z88" s="8">
        <f>IF(AND(COUNT(Z14:Z85)&gt;0, Z86&gt;0), ROUND(COUNTIF(Z14:Z85, "&gt;="&amp;Z86) / COUNT(Z14:Z85) * 100, 2) &amp; "%", "0%")</f>
        <v/>
      </c>
      <c r="AA88" s="8">
        <f>IF(AND(COUNT(AA14:AA85)&gt;0, AA86&gt;0), ROUND(COUNTIF(AA14:AA85, "&gt;="&amp;AA86) / COUNT(AA14:AA85) * 100, 2) &amp; "%", "0%")</f>
        <v/>
      </c>
      <c r="AB88" s="8">
        <f>IF(AND(COUNT(AB14:AB85)&gt;0, AB86&gt;0), ROUND(COUNTIF(AB14:AB85, "&gt;="&amp;AB86) / COUNT(AB14:AB85) * 100, 2) &amp; "%", "0%")</f>
        <v/>
      </c>
      <c r="AC88" s="8">
        <f>IF(AND(COUNT(AC14:AC85)&gt;0, AC86&gt;0), ROUND(COUNTIF(AC14:AC85, "&gt;="&amp;AC86) / COUNT(AC14:AC85) * 100, 2) &amp; "%", "0%")</f>
        <v/>
      </c>
      <c r="AD88" s="8">
        <f>IF(AND(COUNT(AD14:AD85)&gt;0, AD86&gt;0), ROUND(COUNTIF(AD14:AD85, "&gt;="&amp;AD86) / COUNT(AD14:AD85) * 100, 2) &amp; "%", "0%")</f>
        <v/>
      </c>
      <c r="AE88" s="8">
        <f>IF(AND(COUNT(AE14:AE85)&gt;0, AE86&gt;0), ROUND(COUNTIF(AE14:AE85, "&gt;="&amp;AE86) / COUNT(AE14:AE85) * 100, 2) &amp; "%", "0%")</f>
        <v/>
      </c>
      <c r="AF88" s="28">
        <f>IF(AND(COUNT(AF14:AF85)&gt;0, AF86&gt;0), ROUND(COUNTIF(AF14:AF85, "&gt;="&amp;AF86) / COUNT(AF14:AF85) * 100, 2) &amp; "%", "0%")</f>
        <v/>
      </c>
    </row>
    <row r="89">
      <c r="A89" s="27" t="inlineStr">
        <is>
          <t>CO Attainment</t>
        </is>
      </c>
      <c r="E89" s="8" t="n">
        <v>0</v>
      </c>
      <c r="F89" s="8" t="n">
        <v>1.97</v>
      </c>
      <c r="G89" s="8" t="n">
        <v>1.97</v>
      </c>
      <c r="H89" s="8" t="n">
        <v>1.97</v>
      </c>
      <c r="I89" s="8" t="n">
        <v>1.97</v>
      </c>
      <c r="J89" s="8" t="n">
        <v>1.97</v>
      </c>
      <c r="K89" s="8" t="n">
        <v>1.97</v>
      </c>
      <c r="L89" s="8" t="n">
        <v>1.97</v>
      </c>
      <c r="M89" s="8" t="n">
        <v>1.97</v>
      </c>
      <c r="N89" s="8" t="n">
        <v>1.97</v>
      </c>
      <c r="O89" s="8" t="n">
        <v>1.97</v>
      </c>
      <c r="P89" s="8" t="n">
        <v>1.57</v>
      </c>
      <c r="Q89" s="8" t="n">
        <v>1.57</v>
      </c>
      <c r="R89" s="8" t="n">
        <v>1.57</v>
      </c>
      <c r="S89" s="8" t="n">
        <v>1.57</v>
      </c>
      <c r="T89" s="8" t="n">
        <v>1.58</v>
      </c>
      <c r="U89" s="8" t="n">
        <v>1.58</v>
      </c>
      <c r="V89" s="8" t="n">
        <v>1.58</v>
      </c>
      <c r="W89" s="8" t="n">
        <v>1.58</v>
      </c>
      <c r="X89" s="8" t="n">
        <v>1.58</v>
      </c>
      <c r="Y89" s="8" t="n">
        <v>1.8</v>
      </c>
      <c r="Z89" s="8" t="n">
        <v>1.8</v>
      </c>
      <c r="AA89" s="8" t="n">
        <v>1.8</v>
      </c>
      <c r="AB89" s="8" t="n">
        <v>1.8</v>
      </c>
      <c r="AC89" s="8" t="n">
        <v>1.8</v>
      </c>
      <c r="AD89" s="8" t="n">
        <v>2.23</v>
      </c>
      <c r="AE89" s="8" t="n">
        <v>2.23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0</v>
      </c>
    </row>
    <row r="94">
      <c r="B94" s="8" t="inlineStr">
        <is>
          <t>CO2</t>
        </is>
      </c>
      <c r="C94" s="9" t="n">
        <v>64.31</v>
      </c>
      <c r="D94" s="8" t="n">
        <v>1.97</v>
      </c>
    </row>
    <row r="95">
      <c r="B95" s="8" t="inlineStr">
        <is>
          <t>CO3</t>
        </is>
      </c>
      <c r="C95" s="9" t="n">
        <v>51.74</v>
      </c>
      <c r="D95" s="8" t="n">
        <v>1.57</v>
      </c>
    </row>
    <row r="96">
      <c r="B96" s="8" t="inlineStr">
        <is>
          <t>CO4</t>
        </is>
      </c>
      <c r="C96" s="9" t="n">
        <v>51.39</v>
      </c>
      <c r="D96" s="8" t="n">
        <v>1.58</v>
      </c>
    </row>
    <row r="97">
      <c r="B97" s="8" t="inlineStr">
        <is>
          <t>CO5</t>
        </is>
      </c>
      <c r="C97" s="9" t="n">
        <v>58.61</v>
      </c>
      <c r="D97" s="8" t="n">
        <v>1.8</v>
      </c>
    </row>
    <row r="98">
      <c r="B98" s="8" t="inlineStr">
        <is>
          <t>CO6</t>
        </is>
      </c>
      <c r="C98" s="9" t="n">
        <v>72.92</v>
      </c>
      <c r="D98" s="8" t="n">
        <v>2.23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>
        <f>IFERROR(ROUND(AVERAGE(D11:D82), 2), 0)</f>
        <v/>
      </c>
      <c r="E83" s="8">
        <f>IFERROR(ROUND(AVERAGE(E11:E82), 2), 0)</f>
        <v/>
      </c>
      <c r="F83" s="8">
        <f>IFERROR(ROUND(AVERAGE(F11:F82), 2), 0)</f>
        <v/>
      </c>
      <c r="G83" s="8">
        <f>IFERROR(ROUND(AVERAGE(G11:G82), 2), 0)</f>
        <v/>
      </c>
      <c r="H83" s="8">
        <f>IFERROR(ROUND(AVERAGE(H11:H82), 2), 0)</f>
        <v/>
      </c>
      <c r="I83" s="8">
        <f>IFERROR(ROUND(AVERAGE(I11:I82), 2), 0)</f>
        <v/>
      </c>
      <c r="J83" s="8">
        <f>IFERROR(ROUND(AVERAGE(J11:J82), 2), 0)</f>
        <v/>
      </c>
    </row>
    <row r="84">
      <c r="A84" s="27" t="inlineStr">
        <is>
          <t>Total Appeared</t>
        </is>
      </c>
      <c r="D84" s="8">
        <f>COUNT(D11:D82)</f>
        <v/>
      </c>
      <c r="E84" s="8">
        <f>COUNT(E11:E82)</f>
        <v/>
      </c>
      <c r="F84" s="8">
        <f>COUNT(F11:F82)</f>
        <v/>
      </c>
      <c r="G84" s="8">
        <f>COUNT(G11:G82)</f>
        <v/>
      </c>
      <c r="H84" s="8">
        <f>COUNT(H11:H82)</f>
        <v/>
      </c>
      <c r="I84" s="8">
        <f>COUNT(I11:I82)</f>
        <v/>
      </c>
      <c r="J84" s="8">
        <f>COUNT(J11:J82)</f>
        <v/>
      </c>
    </row>
    <row r="85">
      <c r="A85" s="27" t="inlineStr">
        <is>
          <t>% above Avg</t>
        </is>
      </c>
      <c r="D85" s="8">
        <f>IF(COUNT(D11:D82)&gt;0, ROUND(COUNTIF(D11:D82, "&gt;="&amp;D83) / COUNT(D11:D82) * 100, 2) &amp; "%", "0%")</f>
        <v/>
      </c>
      <c r="E85" s="8">
        <f>IF(COUNT(E11:E82)&gt;0, ROUND(COUNTIF(E11:E82, "&gt;="&amp;E83) / COUNT(E11:E82) * 100, 2) &amp; "%", "0%")</f>
        <v/>
      </c>
      <c r="F85" s="8">
        <f>IF(COUNT(F11:F82)&gt;0, ROUND(COUNTIF(F11:F82, "&gt;="&amp;F83) / COUNT(F11:F82) * 100, 2) &amp; "%", "0%")</f>
        <v/>
      </c>
      <c r="G85" s="8">
        <f>IF(COUNT(G11:G82)&gt;0, ROUND(COUNTIF(G11:G82, "&gt;="&amp;G83) / COUNT(G11:G82) * 100, 2) &amp; "%", "0%")</f>
        <v/>
      </c>
      <c r="H85" s="8">
        <f>IF(COUNT(H11:H82)&gt;0, ROUND(COUNTIF(H11:H82, "&gt;="&amp;H83) / COUNT(H11:H82) * 100, 2) &amp; "%", "0%")</f>
        <v/>
      </c>
      <c r="I85" s="8">
        <f>IF(COUNT(I11:I82)&gt;0, ROUND(COUNTIF(I11:I82, "&gt;="&amp;I83) / COUNT(I11:I82) * 100, 2) &amp; "%", "0%")</f>
        <v/>
      </c>
      <c r="J85" s="8">
        <f>IF(COUNT(J11:J82)&gt;0, ROUND(COUNTIF(J11:J82, "&gt;="&amp;J83) / COUNT(J11:J82) * 100, 2) &amp; "%", "0%")</f>
        <v/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2.18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18.44</v>
      </c>
      <c r="D90" s="14" t="n">
        <v>0</v>
      </c>
    </row>
    <row r="91">
      <c r="B91" s="14" t="inlineStr">
        <is>
          <t>CO2</t>
        </is>
      </c>
      <c r="C91" s="15" t="n">
        <v>17.78</v>
      </c>
      <c r="D91" s="14" t="n">
        <v>1.83</v>
      </c>
    </row>
    <row r="92">
      <c r="B92" s="14" t="inlineStr">
        <is>
          <t>CO3</t>
        </is>
      </c>
      <c r="C92" s="15" t="n">
        <v>18</v>
      </c>
      <c r="D92" s="14" t="n">
        <v>1.92</v>
      </c>
    </row>
    <row r="93">
      <c r="B93" s="14" t="inlineStr">
        <is>
          <t>CO4</t>
        </is>
      </c>
      <c r="C93" s="15" t="n">
        <v>17.82</v>
      </c>
      <c r="D93" s="14" t="n">
        <v>1.83</v>
      </c>
    </row>
    <row r="94">
      <c r="B94" s="14" t="inlineStr">
        <is>
          <t>CO5</t>
        </is>
      </c>
      <c r="C94" s="15" t="n">
        <v>18.17</v>
      </c>
      <c r="D94" s="14" t="n">
        <v>1.83</v>
      </c>
    </row>
    <row r="95">
      <c r="B95" s="14" t="inlineStr">
        <is>
          <t>CO6</t>
        </is>
      </c>
      <c r="C95" s="15" t="n">
        <v>18.97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1.75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inlineStr">
        <is>
          <t>-</t>
        </is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inlineStr">
        <is>
          <t>-</t>
        </is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inlineStr">
        <is>
          <t>-</t>
        </is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inlineStr">
        <is>
          <t>-</t>
        </is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inlineStr">
        <is>
          <t>-</t>
        </is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inlineStr">
        <is>
          <t>-</t>
        </is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inlineStr">
        <is>
          <t>-</t>
        </is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inlineStr">
        <is>
          <t>-</t>
        </is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inlineStr">
        <is>
          <t>-</t>
        </is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inlineStr">
        <is>
          <t>-</t>
        </is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inlineStr">
        <is>
          <t>-</t>
        </is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inlineStr">
        <is>
          <t>-</t>
        </is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inlineStr">
        <is>
          <t>-</t>
        </is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inlineStr">
        <is>
          <t>-</t>
        </is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inlineStr">
        <is>
          <t>-</t>
        </is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inlineStr">
        <is>
          <t>-</t>
        </is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inlineStr">
        <is>
          <t>-</t>
        </is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inlineStr">
        <is>
          <t>-</t>
        </is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inlineStr">
        <is>
          <t>-</t>
        </is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inlineStr">
        <is>
          <t>-</t>
        </is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inlineStr">
        <is>
          <t>-</t>
        </is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inlineStr">
        <is>
          <t>-</t>
        </is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inlineStr">
        <is>
          <t>-</t>
        </is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inlineStr">
        <is>
          <t>-</t>
        </is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inlineStr">
        <is>
          <t>-</t>
        </is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inlineStr">
        <is>
          <t>-</t>
        </is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inlineStr">
        <is>
          <t>-</t>
        </is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inlineStr">
        <is>
          <t>-</t>
        </is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inlineStr">
        <is>
          <t>-</t>
        </is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inlineStr">
        <is>
          <t>-</t>
        </is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inlineStr">
        <is>
          <t>-</t>
        </is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inlineStr">
        <is>
          <t>-</t>
        </is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inlineStr">
        <is>
          <t>-</t>
        </is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inlineStr">
        <is>
          <t>-</t>
        </is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inlineStr">
        <is>
          <t>-</t>
        </is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inlineStr">
        <is>
          <t>-</t>
        </is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inlineStr">
        <is>
          <t>-</t>
        </is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inlineStr">
        <is>
          <t>-</t>
        </is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inlineStr">
        <is>
          <t>-</t>
        </is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inlineStr">
        <is>
          <t>-</t>
        </is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inlineStr">
        <is>
          <t>-</t>
        </is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inlineStr">
        <is>
          <t>-</t>
        </is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inlineStr">
        <is>
          <t>-</t>
        </is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inlineStr">
        <is>
          <t>-</t>
        </is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inlineStr">
        <is>
          <t>-</t>
        </is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inlineStr">
        <is>
          <t>-</t>
        </is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inlineStr">
        <is>
          <t>-</t>
        </is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inlineStr">
        <is>
          <t>-</t>
        </is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inlineStr">
        <is>
          <t>-</t>
        </is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inlineStr">
        <is>
          <t>-</t>
        </is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inlineStr">
        <is>
          <t>-</t>
        </is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inlineStr">
        <is>
          <t>-</t>
        </is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inlineStr">
        <is>
          <t>-</t>
        </is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inlineStr">
        <is>
          <t>-</t>
        </is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inlineStr">
        <is>
          <t>-</t>
        </is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inlineStr">
        <is>
          <t>-</t>
        </is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inlineStr">
        <is>
          <t>-</t>
        </is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inlineStr">
        <is>
          <t>-</t>
        </is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inlineStr">
        <is>
          <t>-</t>
        </is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inlineStr">
        <is>
          <t>-</t>
        </is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inlineStr">
        <is>
          <t>-</t>
        </is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inlineStr">
        <is>
          <t>-</t>
        </is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inlineStr">
        <is>
          <t>-</t>
        </is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inlineStr">
        <is>
          <t>-</t>
        </is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inlineStr">
        <is>
          <t>-</t>
        </is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inlineStr">
        <is>
          <t>-</t>
        </is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inlineStr">
        <is>
          <t>-</t>
        </is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inlineStr">
        <is>
          <t>-</t>
        </is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inlineStr">
        <is>
          <t>-</t>
        </is>
      </c>
    </row>
    <row r="83">
      <c r="A83" s="27" t="inlineStr">
        <is>
          <t>Average Rating</t>
        </is>
      </c>
    </row>
    <row r="84">
      <c r="A84" s="27" t="inlineStr">
        <is>
          <t>Total Responses</t>
        </is>
      </c>
    </row>
    <row r="86">
      <c r="B86" s="33" t="inlineStr">
        <is>
          <t>CO attainment through CES</t>
        </is>
      </c>
    </row>
    <row r="87">
      <c r="B87" s="14" t="inlineStr">
        <is>
          <t>Course Outcome</t>
        </is>
      </c>
      <c r="C87" s="14" t="inlineStr">
        <is>
          <t>Avg Rating</t>
        </is>
      </c>
    </row>
    <row r="88">
      <c r="B88" s="14" t="inlineStr">
        <is>
          <t>CO1</t>
        </is>
      </c>
      <c r="C88" s="15" t="n">
        <v>5</v>
      </c>
      <c r="D88" s="14" t="n">
        <v>0</v>
      </c>
    </row>
    <row r="89">
      <c r="B89" s="14" t="inlineStr">
        <is>
          <t>CO201.2</t>
        </is>
      </c>
      <c r="C89" s="15" t="n">
        <v>5</v>
      </c>
      <c r="D89" s="14" t="n">
        <v>0</v>
      </c>
    </row>
    <row r="90">
      <c r="B90" s="14" t="inlineStr">
        <is>
          <t>CO201.3</t>
        </is>
      </c>
      <c r="C90" s="15" t="n">
        <v>5</v>
      </c>
      <c r="D90" s="14" t="n">
        <v>0</v>
      </c>
    </row>
    <row r="91">
      <c r="B91" s="14" t="inlineStr">
        <is>
          <t>CO201.4</t>
        </is>
      </c>
      <c r="C91" s="15" t="n">
        <v>5</v>
      </c>
      <c r="D91" s="14" t="n">
        <v>0</v>
      </c>
    </row>
    <row r="92">
      <c r="B92" s="14" t="inlineStr">
        <is>
          <t>CO201.5</t>
        </is>
      </c>
      <c r="C92" s="15" t="n">
        <v>5</v>
      </c>
      <c r="D92" s="14" t="n">
        <v>0</v>
      </c>
    </row>
    <row r="93">
      <c r="B93" s="14" t="inlineStr">
        <is>
          <t>CO201.6</t>
        </is>
      </c>
      <c r="C93" s="15" t="n">
        <v>5</v>
      </c>
      <c r="D93" s="14" t="n">
        <v>0</v>
      </c>
    </row>
  </sheetData>
  <mergeCells count="20">
    <mergeCell ref="C3:M3"/>
    <mergeCell ref="A84:C84"/>
    <mergeCell ref="C9:K9"/>
    <mergeCell ref="A1:B3"/>
    <mergeCell ref="A6:B6"/>
    <mergeCell ref="A7:B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  <mergeCell ref="B86:D86"/>
    <mergeCell ref="C87:D8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4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4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0</v>
      </c>
    </row>
    <row r="27">
      <c r="A27" s="14" t="inlineStr">
        <is>
          <t>CO201.2</t>
        </is>
      </c>
      <c r="B27" s="14" t="n">
        <v>0</v>
      </c>
    </row>
    <row r="28">
      <c r="A28" s="14" t="inlineStr">
        <is>
          <t>CO201.3</t>
        </is>
      </c>
      <c r="B28" s="14" t="n">
        <v>0</v>
      </c>
    </row>
    <row r="29">
      <c r="A29" s="14" t="inlineStr">
        <is>
          <t>CO201.4</t>
        </is>
      </c>
      <c r="B29" s="14" t="n">
        <v>0</v>
      </c>
    </row>
    <row r="30">
      <c r="A30" s="14" t="inlineStr">
        <is>
          <t>CO201.5</t>
        </is>
      </c>
      <c r="B30" s="14" t="n">
        <v>0</v>
      </c>
    </row>
    <row r="31">
      <c r="A31" s="14" t="inlineStr">
        <is>
          <t>CO201.6</t>
        </is>
      </c>
      <c r="B31" s="14" t="n">
        <v>0</v>
      </c>
    </row>
    <row r="32">
      <c r="A32" s="39" t="inlineStr">
        <is>
          <t>Average</t>
        </is>
      </c>
      <c r="B32" s="39" t="n">
        <v>0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0</v>
      </c>
      <c r="C36" s="40" t="n">
        <v>0</v>
      </c>
      <c r="D36" s="40" t="n">
        <v>0</v>
      </c>
      <c r="E36" s="40" t="n">
        <v>0</v>
      </c>
      <c r="F36" s="40" t="n">
        <v>0</v>
      </c>
      <c r="G36" s="40" t="n">
        <v>0</v>
      </c>
      <c r="H36" s="40" t="n">
        <v>0</v>
      </c>
      <c r="I36" s="40" t="n">
        <v>0</v>
      </c>
      <c r="J36" s="40" t="n">
        <v>0</v>
      </c>
      <c r="K36" s="40" t="n">
        <v>0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2026-03-10T03:22:13Z</dcterms:created>
  <dcterms:modified xsi:type="dcterms:W3CDTF">2026-03-10T03:22:15Z</dcterms:modified>
</cp:coreProperties>
</file>