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S_Analysis" sheetId="1" state="visible" r:id="rId1"/>
    <sheet name="All Combine " sheetId="2" state="visible" r:id="rId2"/>
    <sheet name="Class test 01" sheetId="3" state="visible" r:id="rId3"/>
    <sheet name="Class test 02" sheetId="4" state="visible" r:id="rId4"/>
    <sheet name="FA-PR (K3)" sheetId="5" state="visible" r:id="rId5"/>
    <sheet name="SLA" sheetId="6" state="visible" r:id="rId6"/>
    <sheet name="SA-TH" sheetId="7" state="visible" r:id="rId7"/>
    <sheet name="SA-PR" sheetId="8" state="visible" r:id="rId8"/>
    <sheet name="CES. " sheetId="9" state="visible" r:id="rId9"/>
    <sheet name="CO-PO-PSO Mapping &amp; PO-PSO Att.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000000"/>
      <sz val="11"/>
    </font>
    <font>
      <b val="1"/>
      <sz val="9"/>
    </font>
    <font>
      <b val="1"/>
      <color rgb="00FFFFFF"/>
      <sz val="11"/>
    </font>
    <font>
      <b val="1"/>
      <color rgb="00FFFFFF"/>
    </font>
    <font>
      <b val="1"/>
      <color rgb="00000000"/>
    </font>
    <font>
      <b val="1"/>
      <color rgb="00FF0000"/>
    </font>
  </fonts>
  <fills count="12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C6E0B4"/>
        <bgColor rgb="00C6E0B4"/>
      </patternFill>
    </fill>
    <fill>
      <patternFill patternType="solid">
        <fgColor rgb="00F8CBAD"/>
        <bgColor rgb="00F8CBAD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  <fill>
      <patternFill patternType="solid">
        <fgColor rgb="00D9E1F2"/>
        <bgColor rgb="00D9E1F2"/>
      </patternFill>
    </fill>
    <fill>
      <patternFill patternType="solid">
        <fgColor rgb="00E7E6FE"/>
        <bgColor rgb="00E7E6FE"/>
      </patternFill>
    </fill>
    <fill>
      <patternFill patternType="solid">
        <fgColor rgb="002F5597"/>
        <bgColor rgb="002F5597"/>
      </patternFill>
    </fill>
    <fill>
      <patternFill patternType="solid">
        <fgColor rgb="00FCE4D6"/>
        <bgColor rgb="00FCE4D6"/>
      </patternFill>
    </fill>
    <fill>
      <patternFill patternType="solid">
        <fgColor rgb="00FACE8D"/>
        <bgColor rgb="00FACE8D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left" indent="1"/>
    </xf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3" fillId="4" borderId="1" applyAlignment="1" pivotButton="0" quotePrefix="0" xfId="0">
      <alignment horizontal="right"/>
    </xf>
    <xf numFmtId="0" fontId="3" fillId="5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4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/>
    </xf>
    <xf numFmtId="0" fontId="6" fillId="9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9" borderId="1" applyAlignment="1" pivotButton="0" quotePrefix="0" xfId="0">
      <alignment horizontal="center"/>
    </xf>
    <xf numFmtId="0" fontId="0" fillId="0" borderId="4" pivotButton="0" quotePrefix="0" xfId="0"/>
    <xf numFmtId="0" fontId="0" fillId="7" borderId="1" applyAlignment="1" pivotButton="0" quotePrefix="0" xfId="0">
      <alignment horizontal="center"/>
    </xf>
    <xf numFmtId="0" fontId="0" fillId="0" borderId="1" applyAlignment="1" pivotButton="0" quotePrefix="0" xfId="0">
      <alignment horizontal="left" indent="1"/>
    </xf>
    <xf numFmtId="0" fontId="3" fillId="4" borderId="1" applyAlignment="1" pivotButton="0" quotePrefix="0" xfId="0">
      <alignment horizontal="right" indent="1"/>
    </xf>
    <xf numFmtId="0" fontId="3" fillId="0" borderId="1" applyAlignment="1" pivotButton="0" quotePrefix="0" xfId="0">
      <alignment horizontal="center"/>
    </xf>
    <xf numFmtId="0" fontId="4" fillId="5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7" fillId="9" borderId="1" pivotButton="0" quotePrefix="0" xfId="0"/>
    <xf numFmtId="0" fontId="0" fillId="6" borderId="1" applyAlignment="1" pivotButton="0" quotePrefix="0" xfId="0">
      <alignment horizontal="center"/>
    </xf>
    <xf numFmtId="0" fontId="0" fillId="5" borderId="0" pivotButton="0" quotePrefix="0" xfId="0"/>
    <xf numFmtId="0" fontId="3" fillId="6" borderId="1" pivotButton="0" quotePrefix="0" xfId="0"/>
    <xf numFmtId="0" fontId="3" fillId="11" borderId="1" applyAlignment="1" pivotButton="0" quotePrefix="0" xfId="0">
      <alignment horizontal="center"/>
    </xf>
    <xf numFmtId="0" fontId="8" fillId="0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10" borderId="1" pivotButton="0" quotePrefix="0" xfId="0"/>
    <xf numFmtId="0" fontId="3" fillId="11" borderId="1" pivotButton="0" quotePrefix="0" xfId="0"/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jpe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jpe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jpe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jpe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jpe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jpe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cols>
    <col width="8" customWidth="1" min="2" max="2"/>
    <col width="15" customWidth="1" min="3" max="3"/>
    <col width="12" customWidth="1" min="4" max="4"/>
    <col width="15" customWidth="1" min="5" max="5"/>
    <col width="15" customWidth="1" min="6" max="6"/>
    <col width="20" customWidth="1" min="7" max="7"/>
    <col width="30" customWidth="1" min="8" max="8"/>
  </cols>
  <sheetData>
    <row r="1">
      <c r="A1" s="1" t="n"/>
      <c r="C1" s="2" t="inlineStr">
        <is>
          <t>Sandip Polytechnic, Nashik</t>
        </is>
      </c>
      <c r="N1" s="3" t="inlineStr">
        <is>
          <t>CIS_Analysis</t>
        </is>
      </c>
    </row>
    <row r="2">
      <c r="C2" s="4" t="inlineStr">
        <is>
          <t>Computer Engineering Program</t>
        </is>
      </c>
    </row>
    <row r="3">
      <c r="C3" s="4" t="inlineStr">
        <is>
          <t>CO Attainment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2">
      <c r="B12" s="7" t="inlineStr">
        <is>
          <t>CO</t>
        </is>
      </c>
      <c r="C12" s="7" t="inlineStr">
        <is>
          <t>CO Attainment</t>
        </is>
      </c>
      <c r="D12" s="7" t="inlineStr">
        <is>
          <t>Target</t>
        </is>
      </c>
      <c r="E12" s="7" t="inlineStr">
        <is>
          <t>% target achieved</t>
        </is>
      </c>
      <c r="F12" s="7" t="inlineStr">
        <is>
          <t>CO Atmnt.Gap</t>
        </is>
      </c>
      <c r="G12" s="7" t="inlineStr">
        <is>
          <t>Analysis</t>
        </is>
      </c>
      <c r="H12" s="7" t="inlineStr">
        <is>
          <t>Action Proposed Report</t>
        </is>
      </c>
    </row>
    <row r="13">
      <c r="B13" s="8" t="inlineStr">
        <is>
          <t>CO201</t>
        </is>
      </c>
      <c r="C13" s="8" t="n">
        <v>1.8</v>
      </c>
      <c r="D13" s="9" t="n">
        <v>1.75</v>
      </c>
      <c r="E13" s="8" t="n">
        <v>57.32</v>
      </c>
      <c r="F13" s="8" t="n">
        <v>1.28</v>
      </c>
      <c r="G13" s="10" t="inlineStr">
        <is>
          <t>Course Target is not achieved</t>
        </is>
      </c>
      <c r="H13" s="11" t="inlineStr">
        <is>
          <t>ATR</t>
        </is>
      </c>
    </row>
    <row r="15">
      <c r="B15" s="12" t="inlineStr">
        <is>
          <t>Faculty</t>
        </is>
      </c>
      <c r="E15" s="12" t="inlineStr">
        <is>
          <t>NBA Coordinator</t>
        </is>
      </c>
      <c r="H15" s="12" t="inlineStr">
        <is>
          <t>HOD</t>
        </is>
      </c>
    </row>
  </sheetData>
  <mergeCells count="16">
    <mergeCell ref="A4:B4"/>
    <mergeCell ref="C7:K7"/>
    <mergeCell ref="C3:M3"/>
    <mergeCell ref="A7:B7"/>
    <mergeCell ref="C5:K5"/>
    <mergeCell ref="C1:M1"/>
    <mergeCell ref="A5:B5"/>
    <mergeCell ref="C9:K9"/>
    <mergeCell ref="C2:M2"/>
    <mergeCell ref="C8:K8"/>
    <mergeCell ref="A9:B9"/>
    <mergeCell ref="C4:K4"/>
    <mergeCell ref="A8:B8"/>
    <mergeCell ref="A1:B3"/>
    <mergeCell ref="A6:B6"/>
    <mergeCell ref="C6:K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cols>
    <col width="8" customWidth="1" min="2" max="2"/>
    <col width="8" customWidth="1" min="3" max="3"/>
    <col width="8" customWidth="1" min="4" max="4"/>
    <col width="12" customWidth="1" min="5" max="5"/>
    <col width="8" customWidth="1" min="6" max="6"/>
    <col width="12" customWidth="1" min="7" max="7"/>
    <col width="8" customWidth="1" min="8" max="8"/>
    <col width="8" customWidth="1" min="10" max="10"/>
    <col width="12" customWidth="1" min="11" max="11"/>
    <col width="8" customWidth="1" min="12" max="12"/>
    <col width="12" customWidth="1" min="14" max="14"/>
    <col width="12" customWidth="1" min="15" max="15"/>
    <col width="12" customWidth="1" min="16" max="16"/>
    <col width="8" customWidth="1" min="17" max="17"/>
    <col width="12" customWidth="1" min="18" max="18"/>
    <col width="12" customWidth="1" min="19" max="19"/>
  </cols>
  <sheetData>
    <row r="1">
      <c r="A1" s="1" t="n"/>
      <c r="C1" s="2" t="inlineStr">
        <is>
          <t>Sandip Polytechnic, Nashik</t>
        </is>
      </c>
      <c r="N1" s="3" t="inlineStr">
        <is>
          <t>All Combine</t>
        </is>
      </c>
    </row>
    <row r="2">
      <c r="C2" s="4" t="inlineStr">
        <is>
          <t>Computer Engineering Program</t>
        </is>
      </c>
    </row>
    <row r="3">
      <c r="C3" s="4" t="inlineStr">
        <is>
          <t>CO Attainment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1">
      <c r="C11" s="13" t="inlineStr">
        <is>
          <t>Internal Assessment 40%</t>
        </is>
      </c>
      <c r="J11" s="13" t="inlineStr">
        <is>
          <t>External Assessment 60%</t>
        </is>
      </c>
      <c r="N11" s="13" t="inlineStr">
        <is>
          <t>Direct Attmnt.</t>
        </is>
      </c>
      <c r="O11" s="13" t="inlineStr">
        <is>
          <t>Course Exit</t>
        </is>
      </c>
    </row>
    <row r="12">
      <c r="B12" s="13" t="inlineStr">
        <is>
          <t>CO</t>
        </is>
      </c>
      <c r="C12" s="13" t="inlineStr">
        <is>
          <t>CT1</t>
        </is>
      </c>
      <c r="D12" s="13" t="inlineStr">
        <is>
          <t>CT2</t>
        </is>
      </c>
      <c r="E12" s="13" t="inlineStr">
        <is>
          <t>Assignment (SLA)</t>
        </is>
      </c>
      <c r="F12" s="13" t="inlineStr">
        <is>
          <t>FA-PR</t>
        </is>
      </c>
      <c r="G12" s="13" t="inlineStr">
        <is>
          <t>SA-PR (Internal)</t>
        </is>
      </c>
      <c r="H12" s="13" t="inlineStr">
        <is>
          <t>Avg(I)</t>
        </is>
      </c>
      <c r="J12" s="13" t="inlineStr">
        <is>
          <t>SA-TH</t>
        </is>
      </c>
      <c r="K12" s="13" t="inlineStr">
        <is>
          <t>SA-PR (External)</t>
        </is>
      </c>
      <c r="L12" s="13" t="inlineStr">
        <is>
          <t>Avg(B)</t>
        </is>
      </c>
      <c r="N12" s="13" t="inlineStr">
        <is>
          <t>.4A(I)+.6A(B) CO Attainment</t>
        </is>
      </c>
      <c r="O12" s="7" t="inlineStr">
        <is>
          <t>CES (Course Exit Survey)</t>
        </is>
      </c>
      <c r="P12" s="7" t="inlineStr">
        <is>
          <t>Total CO Attainment 0.8(L)+0.2 (M)</t>
        </is>
      </c>
      <c r="Q12" s="7" t="inlineStr">
        <is>
          <t>Target</t>
        </is>
      </c>
      <c r="R12" s="7" t="inlineStr">
        <is>
          <t>CO Atmnt.Gap</t>
        </is>
      </c>
      <c r="S12" s="7" t="inlineStr">
        <is>
          <t>Target for next Batch</t>
        </is>
      </c>
    </row>
    <row r="13">
      <c r="B13" s="8" t="inlineStr">
        <is>
          <t>CO1</t>
        </is>
      </c>
      <c r="C13" s="8" t="n">
        <v>2.96</v>
      </c>
      <c r="D13" s="8" t="inlineStr">
        <is>
          <t>-</t>
        </is>
      </c>
      <c r="E13" s="8" t="n">
        <v>1.83</v>
      </c>
      <c r="F13" s="8" t="n">
        <v>1.33</v>
      </c>
      <c r="G13" s="8" t="n">
        <v>1</v>
      </c>
      <c r="H13" s="14" t="n">
        <v>1.78</v>
      </c>
      <c r="J13" s="8" t="n">
        <v>1.75</v>
      </c>
      <c r="K13" s="8" t="n">
        <v>1</v>
      </c>
      <c r="L13" s="14" t="n">
        <v>1.38</v>
      </c>
      <c r="N13" s="14" t="n">
        <v>1.54</v>
      </c>
      <c r="O13" s="14" t="inlineStr">
        <is>
          <t>-</t>
        </is>
      </c>
      <c r="P13" s="14" t="n">
        <v>1.76</v>
      </c>
      <c r="Q13" s="15" t="n">
        <v>3</v>
      </c>
      <c r="R13" s="14" t="n">
        <v>1.24</v>
      </c>
      <c r="S13" s="15" t="n">
        <v>3</v>
      </c>
    </row>
    <row r="14">
      <c r="B14" s="8" t="inlineStr">
        <is>
          <t>CO201.2</t>
        </is>
      </c>
      <c r="C14" s="8" t="n">
        <v>2.71</v>
      </c>
      <c r="D14" s="8" t="inlineStr">
        <is>
          <t>-</t>
        </is>
      </c>
      <c r="E14" s="8" t="n">
        <v>1.83</v>
      </c>
      <c r="F14" s="8" t="n">
        <v>1.97</v>
      </c>
      <c r="G14" s="8" t="n">
        <v>1</v>
      </c>
      <c r="H14" s="14" t="n">
        <v>1.88</v>
      </c>
      <c r="J14" s="8" t="n">
        <v>1.75</v>
      </c>
      <c r="K14" s="8" t="n">
        <v>1</v>
      </c>
      <c r="L14" s="14" t="n">
        <v>1.38</v>
      </c>
      <c r="N14" s="14" t="n">
        <v>1.58</v>
      </c>
      <c r="O14" s="14" t="inlineStr">
        <is>
          <t>-</t>
        </is>
      </c>
      <c r="P14" s="14" t="n">
        <v>1.8</v>
      </c>
      <c r="Q14" s="15" t="n">
        <v>3</v>
      </c>
      <c r="R14" s="14" t="n">
        <v>1.2</v>
      </c>
      <c r="S14" s="15" t="n">
        <v>3</v>
      </c>
    </row>
    <row r="15">
      <c r="B15" s="8" t="inlineStr">
        <is>
          <t>CO201.3</t>
        </is>
      </c>
      <c r="C15" s="8" t="n">
        <v>2.76</v>
      </c>
      <c r="D15" s="8" t="inlineStr">
        <is>
          <t>-</t>
        </is>
      </c>
      <c r="E15" s="8" t="n">
        <v>1.92</v>
      </c>
      <c r="F15" s="8" t="n">
        <v>1.57</v>
      </c>
      <c r="G15" s="8" t="n">
        <v>1</v>
      </c>
      <c r="H15" s="14" t="n">
        <v>1.81</v>
      </c>
      <c r="J15" s="8" t="n">
        <v>1.75</v>
      </c>
      <c r="K15" s="8" t="n">
        <v>1</v>
      </c>
      <c r="L15" s="14" t="n">
        <v>1.38</v>
      </c>
      <c r="N15" s="14" t="n">
        <v>1.55</v>
      </c>
      <c r="O15" s="14" t="inlineStr">
        <is>
          <t>-</t>
        </is>
      </c>
      <c r="P15" s="14" t="n">
        <v>1.77</v>
      </c>
      <c r="Q15" s="15" t="n">
        <v>3</v>
      </c>
      <c r="R15" s="14" t="n">
        <v>1.23</v>
      </c>
      <c r="S15" s="15" t="n">
        <v>3</v>
      </c>
    </row>
    <row r="16">
      <c r="B16" s="8" t="inlineStr">
        <is>
          <t>CO201.4</t>
        </is>
      </c>
      <c r="C16" s="8" t="inlineStr">
        <is>
          <t>-</t>
        </is>
      </c>
      <c r="D16" s="8" t="n">
        <v>3</v>
      </c>
      <c r="E16" s="8" t="n">
        <v>1.83</v>
      </c>
      <c r="F16" s="8" t="n">
        <v>1.58</v>
      </c>
      <c r="G16" s="8" t="n">
        <v>1</v>
      </c>
      <c r="H16" s="14" t="n">
        <v>1.85</v>
      </c>
      <c r="J16" s="8" t="n">
        <v>1.75</v>
      </c>
      <c r="K16" s="8" t="n">
        <v>1</v>
      </c>
      <c r="L16" s="14" t="n">
        <v>1.38</v>
      </c>
      <c r="N16" s="14" t="n">
        <v>1.57</v>
      </c>
      <c r="O16" s="14" t="inlineStr">
        <is>
          <t>-</t>
        </is>
      </c>
      <c r="P16" s="14" t="n">
        <v>1.79</v>
      </c>
      <c r="Q16" s="15" t="n">
        <v>3</v>
      </c>
      <c r="R16" s="14" t="n">
        <v>1.21</v>
      </c>
      <c r="S16" s="15" t="n">
        <v>3</v>
      </c>
    </row>
    <row r="17">
      <c r="B17" s="8" t="inlineStr">
        <is>
          <t>CO201.5</t>
        </is>
      </c>
      <c r="C17" s="8" t="inlineStr">
        <is>
          <t>-</t>
        </is>
      </c>
      <c r="D17" s="8" t="n">
        <v>3</v>
      </c>
      <c r="E17" s="8" t="n">
        <v>1.83</v>
      </c>
      <c r="F17" s="8" t="n">
        <v>1.8</v>
      </c>
      <c r="G17" s="8" t="n">
        <v>1</v>
      </c>
      <c r="H17" s="14" t="n">
        <v>1.91</v>
      </c>
      <c r="J17" s="8" t="n">
        <v>1.75</v>
      </c>
      <c r="K17" s="8" t="n">
        <v>1</v>
      </c>
      <c r="L17" s="14" t="n">
        <v>1.38</v>
      </c>
      <c r="N17" s="14" t="n">
        <v>1.59</v>
      </c>
      <c r="O17" s="14" t="inlineStr">
        <is>
          <t>-</t>
        </is>
      </c>
      <c r="P17" s="14" t="n">
        <v>1.81</v>
      </c>
      <c r="Q17" s="15" t="n">
        <v>3</v>
      </c>
      <c r="R17" s="14" t="n">
        <v>1.19</v>
      </c>
      <c r="S17" s="15" t="n">
        <v>3</v>
      </c>
    </row>
    <row r="18">
      <c r="B18" s="8" t="inlineStr">
        <is>
          <t>CO201.6</t>
        </is>
      </c>
      <c r="C18" s="8" t="inlineStr">
        <is>
          <t>-</t>
        </is>
      </c>
      <c r="D18" s="8" t="n">
        <v>3</v>
      </c>
      <c r="E18" s="8" t="n">
        <v>2.17</v>
      </c>
      <c r="F18" s="8" t="n">
        <v>2.23</v>
      </c>
      <c r="G18" s="8" t="n">
        <v>1</v>
      </c>
      <c r="H18" s="14" t="n">
        <v>2.1</v>
      </c>
      <c r="J18" s="8" t="n">
        <v>1.75</v>
      </c>
      <c r="K18" s="8" t="n">
        <v>1</v>
      </c>
      <c r="L18" s="14" t="n">
        <v>1.38</v>
      </c>
      <c r="N18" s="14" t="n">
        <v>1.67</v>
      </c>
      <c r="O18" s="14" t="inlineStr">
        <is>
          <t>-</t>
        </is>
      </c>
      <c r="P18" s="14" t="n">
        <v>1.89</v>
      </c>
      <c r="Q18" s="15" t="n">
        <v>3</v>
      </c>
      <c r="R18" s="14" t="n">
        <v>1.11</v>
      </c>
      <c r="S18" s="15" t="n">
        <v>3</v>
      </c>
    </row>
    <row r="19">
      <c r="B19" s="16" t="inlineStr">
        <is>
          <t>Attainment of CO</t>
        </is>
      </c>
      <c r="P19" s="17">
        <f>AVERAGE(P13:P18)</f>
        <v/>
      </c>
      <c r="Q19" s="17" t="inlineStr"/>
      <c r="R19" s="17">
        <f>AVERAGE(R13:R18)</f>
        <v/>
      </c>
      <c r="S19" s="17" t="inlineStr"/>
    </row>
    <row r="21">
      <c r="B21" s="18" t="inlineStr">
        <is>
          <t>CT1 &amp; CT2 : Class Test 1 &amp; 2    SLA: Self Learning Assessments    FA-PR: Formative Assessment Practical    SA-PR:Summative Assessment Practical    SA-TH: Summative Assessment Theory</t>
        </is>
      </c>
    </row>
  </sheetData>
  <mergeCells count="22">
    <mergeCell ref="B21:S21"/>
    <mergeCell ref="C3:M3"/>
    <mergeCell ref="O11"/>
    <mergeCell ref="C9:K9"/>
    <mergeCell ref="A1:B3"/>
    <mergeCell ref="A6:B6"/>
    <mergeCell ref="J11:L11"/>
    <mergeCell ref="C11:H11"/>
    <mergeCell ref="A7:B7"/>
    <mergeCell ref="C1:M1"/>
    <mergeCell ref="N11"/>
    <mergeCell ref="C8:K8"/>
    <mergeCell ref="C7:K7"/>
    <mergeCell ref="A5:B5"/>
    <mergeCell ref="C2:M2"/>
    <mergeCell ref="B19:O19"/>
    <mergeCell ref="A8:B8"/>
    <mergeCell ref="C6:K6"/>
    <mergeCell ref="A4:B4"/>
    <mergeCell ref="C5:K5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</cols>
  <sheetData>
    <row r="1">
      <c r="A1" s="1" t="n"/>
      <c r="C1" s="2" t="inlineStr">
        <is>
          <t>Sandip Polytechnic, Nashik</t>
        </is>
      </c>
      <c r="N1" s="3" t="inlineStr">
        <is>
          <t>Class test 01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Class test 01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1">
      <c r="A11" s="19" t="inlineStr">
        <is>
          <t>ENROLLMENT NO.</t>
        </is>
      </c>
      <c r="B11" s="19" t="inlineStr">
        <is>
          <t>Roll no.</t>
        </is>
      </c>
      <c r="C11" s="19" t="inlineStr">
        <is>
          <t>Name of Student</t>
        </is>
      </c>
      <c r="D11" s="17" t="inlineStr">
        <is>
          <t>Q-&gt;</t>
        </is>
      </c>
      <c r="E11" s="20" t="inlineStr">
        <is>
          <t>1(a)</t>
        </is>
      </c>
      <c r="F11" s="20" t="inlineStr">
        <is>
          <t>1(b)</t>
        </is>
      </c>
      <c r="G11" s="20" t="inlineStr">
        <is>
          <t>1(c)</t>
        </is>
      </c>
      <c r="H11" s="20" t="inlineStr">
        <is>
          <t>1(d)</t>
        </is>
      </c>
      <c r="I11" s="20" t="inlineStr">
        <is>
          <t>1(e)</t>
        </is>
      </c>
      <c r="J11" s="20" t="inlineStr">
        <is>
          <t>1(f)</t>
        </is>
      </c>
      <c r="K11" s="20" t="inlineStr">
        <is>
          <t>1(g)</t>
        </is>
      </c>
      <c r="L11" s="20" t="inlineStr">
        <is>
          <t>2(a)</t>
        </is>
      </c>
      <c r="M11" s="20" t="inlineStr">
        <is>
          <t>2(b)</t>
        </is>
      </c>
      <c r="N11" s="20" t="inlineStr">
        <is>
          <t>2(c)</t>
        </is>
      </c>
      <c r="O11" s="20" t="inlineStr">
        <is>
          <t>2(d)</t>
        </is>
      </c>
      <c r="P11" s="20" t="inlineStr">
        <is>
          <t>2(e)</t>
        </is>
      </c>
      <c r="Q11" s="20" t="inlineStr">
        <is>
          <t>2(f)</t>
        </is>
      </c>
      <c r="R11" s="20" t="inlineStr">
        <is>
          <t>2(g)</t>
        </is>
      </c>
      <c r="S11" s="21" t="inlineStr">
        <is>
          <t>Total</t>
        </is>
      </c>
    </row>
    <row r="12">
      <c r="A12" s="22" t="n"/>
      <c r="B12" s="22" t="n"/>
      <c r="C12" s="22" t="n"/>
      <c r="D12" s="17" t="inlineStr">
        <is>
          <t>Wt-&gt;</t>
        </is>
      </c>
      <c r="E12" s="23" t="n">
        <v>2</v>
      </c>
      <c r="F12" s="23" t="n">
        <v>2</v>
      </c>
      <c r="G12" s="23" t="n">
        <v>2</v>
      </c>
      <c r="H12" s="23" t="n">
        <v>2</v>
      </c>
      <c r="I12" s="23" t="n">
        <v>2</v>
      </c>
      <c r="J12" s="23" t="n">
        <v>2</v>
      </c>
      <c r="K12" s="23" t="n">
        <v>2</v>
      </c>
      <c r="L12" s="23" t="n">
        <v>4</v>
      </c>
      <c r="M12" s="23" t="n">
        <v>4</v>
      </c>
      <c r="N12" s="23" t="n">
        <v>4</v>
      </c>
      <c r="O12" s="23" t="n">
        <v>4</v>
      </c>
      <c r="P12" s="23" t="n">
        <v>4</v>
      </c>
      <c r="Q12" s="23" t="n">
        <v>4</v>
      </c>
      <c r="R12" s="23" t="n">
        <v>4</v>
      </c>
      <c r="S12" s="22" t="n"/>
    </row>
    <row r="13">
      <c r="A13" s="24" t="n"/>
      <c r="B13" s="24" t="n"/>
      <c r="C13" s="24" t="n"/>
      <c r="D13" s="17" t="inlineStr">
        <is>
          <t>CO -&gt;</t>
        </is>
      </c>
      <c r="E13" s="25" t="inlineStr">
        <is>
          <t>CO1</t>
        </is>
      </c>
      <c r="F13" s="25" t="inlineStr">
        <is>
          <t>CO1</t>
        </is>
      </c>
      <c r="G13" s="25" t="inlineStr">
        <is>
          <t>CO2</t>
        </is>
      </c>
      <c r="H13" s="25" t="inlineStr">
        <is>
          <t>CO2</t>
        </is>
      </c>
      <c r="I13" s="25" t="inlineStr">
        <is>
          <t>CO2</t>
        </is>
      </c>
      <c r="J13" s="25" t="inlineStr">
        <is>
          <t>CO2</t>
        </is>
      </c>
      <c r="K13" s="25" t="inlineStr">
        <is>
          <t>CO3</t>
        </is>
      </c>
      <c r="L13" s="25" t="inlineStr">
        <is>
          <t>CO1</t>
        </is>
      </c>
      <c r="M13" s="25" t="inlineStr">
        <is>
          <t>CO2</t>
        </is>
      </c>
      <c r="N13" s="25" t="inlineStr">
        <is>
          <t>CO2</t>
        </is>
      </c>
      <c r="O13" s="25" t="inlineStr">
        <is>
          <t>CO2</t>
        </is>
      </c>
      <c r="P13" s="25" t="inlineStr">
        <is>
          <t>CO2</t>
        </is>
      </c>
      <c r="Q13" s="25" t="inlineStr">
        <is>
          <t>CO2</t>
        </is>
      </c>
      <c r="R13" s="25" t="inlineStr">
        <is>
          <t>CO3</t>
        </is>
      </c>
      <c r="S13" s="24" t="n"/>
    </row>
    <row r="14">
      <c r="A14" s="14" t="inlineStr">
        <is>
          <t>23611780171</t>
        </is>
      </c>
      <c r="B14" s="14" t="inlineStr">
        <is>
          <t>1</t>
        </is>
      </c>
      <c r="C14" s="26" t="inlineStr">
        <is>
          <t>MORE LALIT DILIP</t>
        </is>
      </c>
      <c r="E14" s="8" t="n">
        <v>2</v>
      </c>
      <c r="F14" s="8" t="n">
        <v>2</v>
      </c>
      <c r="G14" s="8" t="n">
        <v>2</v>
      </c>
      <c r="H14" s="8" t="n">
        <v>1</v>
      </c>
      <c r="I14" s="8" t="n">
        <v>2</v>
      </c>
      <c r="J14" s="8" t="n">
        <v>0</v>
      </c>
      <c r="K14" s="8" t="n">
        <v>0</v>
      </c>
      <c r="L14" s="8" t="n">
        <v>3</v>
      </c>
      <c r="M14" s="8" t="n">
        <v>4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2</v>
      </c>
      <c r="S14" s="8" t="n">
        <v>18</v>
      </c>
    </row>
    <row r="15">
      <c r="A15" s="14" t="inlineStr">
        <is>
          <t>23611780172</t>
        </is>
      </c>
      <c r="B15" s="14" t="inlineStr">
        <is>
          <t>2</t>
        </is>
      </c>
      <c r="C15" s="26" t="inlineStr">
        <is>
          <t>JAGZAP ANIL NANA</t>
        </is>
      </c>
      <c r="E15" s="8" t="n">
        <v>2</v>
      </c>
      <c r="F15" s="8" t="n">
        <v>2</v>
      </c>
      <c r="G15" s="8" t="n">
        <v>2</v>
      </c>
      <c r="H15" s="8" t="n">
        <v>2</v>
      </c>
      <c r="I15" s="8" t="n">
        <v>2</v>
      </c>
      <c r="J15" s="8" t="n">
        <v>0</v>
      </c>
      <c r="K15" s="8" t="n">
        <v>0</v>
      </c>
      <c r="L15" s="8" t="n">
        <v>4</v>
      </c>
      <c r="M15" s="8" t="n">
        <v>4</v>
      </c>
      <c r="N15" s="8" t="n">
        <v>4</v>
      </c>
      <c r="O15" s="8" t="n">
        <v>4</v>
      </c>
      <c r="P15" s="8" t="n">
        <v>4</v>
      </c>
      <c r="Q15" s="8" t="n">
        <v>0</v>
      </c>
      <c r="R15" s="8" t="n">
        <v>0</v>
      </c>
      <c r="S15" s="8" t="n">
        <v>30</v>
      </c>
    </row>
    <row r="16">
      <c r="A16" s="14" t="inlineStr">
        <is>
          <t>23611780173</t>
        </is>
      </c>
      <c r="B16" s="14" t="inlineStr">
        <is>
          <t>3</t>
        </is>
      </c>
      <c r="C16" s="26" t="inlineStr">
        <is>
          <t>NIKAM NIRANJAN SATISH</t>
        </is>
      </c>
      <c r="E16" s="8" t="n">
        <v>2</v>
      </c>
      <c r="F16" s="8" t="n">
        <v>2</v>
      </c>
      <c r="G16" s="8" t="n">
        <v>2</v>
      </c>
      <c r="H16" s="8" t="n">
        <v>0</v>
      </c>
      <c r="I16" s="8" t="n">
        <v>0</v>
      </c>
      <c r="J16" s="8" t="n">
        <v>2</v>
      </c>
      <c r="K16" s="8" t="n">
        <v>0</v>
      </c>
      <c r="L16" s="8" t="n">
        <v>4</v>
      </c>
      <c r="M16" s="8" t="n">
        <v>3</v>
      </c>
      <c r="N16" s="8" t="n">
        <v>1</v>
      </c>
      <c r="O16" s="8" t="n">
        <v>4</v>
      </c>
      <c r="P16" s="8" t="n">
        <v>0</v>
      </c>
      <c r="Q16" s="8" t="n">
        <v>3</v>
      </c>
      <c r="R16" s="8" t="n">
        <v>0</v>
      </c>
      <c r="S16" s="8" t="n">
        <v>23</v>
      </c>
    </row>
    <row r="17">
      <c r="A17" s="14" t="inlineStr">
        <is>
          <t>23611780174</t>
        </is>
      </c>
      <c r="B17" s="14" t="inlineStr">
        <is>
          <t>4</t>
        </is>
      </c>
      <c r="C17" s="26" t="inlineStr">
        <is>
          <t>BIDAIT VAIBHAV BALASAHEB</t>
        </is>
      </c>
      <c r="E17" s="8" t="n">
        <v>2</v>
      </c>
      <c r="F17" s="8" t="n">
        <v>2</v>
      </c>
      <c r="G17" s="8" t="n">
        <v>2</v>
      </c>
      <c r="H17" s="8" t="n">
        <v>0</v>
      </c>
      <c r="I17" s="8" t="n">
        <v>0</v>
      </c>
      <c r="J17" s="8" t="n">
        <v>2</v>
      </c>
      <c r="K17" s="8" t="n">
        <v>2</v>
      </c>
      <c r="L17" s="8" t="n">
        <v>4</v>
      </c>
      <c r="M17" s="8" t="n">
        <v>4</v>
      </c>
      <c r="N17" s="8" t="n">
        <v>0</v>
      </c>
      <c r="O17" s="8" t="n">
        <v>2</v>
      </c>
      <c r="P17" s="8" t="n">
        <v>0</v>
      </c>
      <c r="Q17" s="8" t="n">
        <v>4</v>
      </c>
      <c r="R17" s="8" t="n">
        <v>0</v>
      </c>
      <c r="S17" s="8" t="n">
        <v>24</v>
      </c>
    </row>
    <row r="18">
      <c r="A18" s="14" t="inlineStr">
        <is>
          <t>23611780175</t>
        </is>
      </c>
      <c r="B18" s="14" t="inlineStr">
        <is>
          <t>5</t>
        </is>
      </c>
      <c r="C18" s="26" t="inlineStr">
        <is>
          <t>BHABAD SANIKA JAGADISH</t>
        </is>
      </c>
      <c r="E18" s="8" t="n">
        <v>2</v>
      </c>
      <c r="F18" s="8" t="n">
        <v>2</v>
      </c>
      <c r="G18" s="8" t="n">
        <v>2</v>
      </c>
      <c r="H18" s="8" t="n">
        <v>2</v>
      </c>
      <c r="I18" s="8" t="n">
        <v>2</v>
      </c>
      <c r="J18" s="8" t="n">
        <v>0</v>
      </c>
      <c r="K18" s="8" t="n">
        <v>0</v>
      </c>
      <c r="L18" s="8" t="n">
        <v>3</v>
      </c>
      <c r="M18" s="8" t="n">
        <v>3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16</v>
      </c>
    </row>
    <row r="19">
      <c r="A19" s="14" t="inlineStr">
        <is>
          <t>23611780176</t>
        </is>
      </c>
      <c r="B19" s="14" t="inlineStr">
        <is>
          <t>6</t>
        </is>
      </c>
      <c r="C19" s="26" t="inlineStr">
        <is>
          <t>JADHAV RAHUL DEVENDRA</t>
        </is>
      </c>
      <c r="E19" s="8" t="n">
        <v>2</v>
      </c>
      <c r="F19" s="8" t="n">
        <v>2</v>
      </c>
      <c r="G19" s="8" t="n">
        <v>2</v>
      </c>
      <c r="H19" s="8" t="n">
        <v>2</v>
      </c>
      <c r="I19" s="8" t="n">
        <v>2</v>
      </c>
      <c r="J19" s="8" t="n">
        <v>0</v>
      </c>
      <c r="K19" s="8" t="n">
        <v>0</v>
      </c>
      <c r="L19" s="8" t="n">
        <v>4</v>
      </c>
      <c r="M19" s="8" t="n">
        <v>4</v>
      </c>
      <c r="N19" s="8" t="n">
        <v>0</v>
      </c>
      <c r="O19" s="8" t="n">
        <v>4</v>
      </c>
      <c r="P19" s="8" t="n">
        <v>4</v>
      </c>
      <c r="Q19" s="8" t="n">
        <v>0</v>
      </c>
      <c r="R19" s="8" t="n">
        <v>3</v>
      </c>
      <c r="S19" s="8" t="n">
        <v>29</v>
      </c>
    </row>
    <row r="20">
      <c r="A20" s="14" t="inlineStr">
        <is>
          <t>23611780177</t>
        </is>
      </c>
      <c r="B20" s="14" t="inlineStr">
        <is>
          <t>7</t>
        </is>
      </c>
      <c r="C20" s="26" t="inlineStr">
        <is>
          <t>SURVE PARTH YOGESH</t>
        </is>
      </c>
      <c r="E20" s="8" t="n">
        <v>2</v>
      </c>
      <c r="F20" s="8" t="n">
        <v>0</v>
      </c>
      <c r="G20" s="8" t="n">
        <v>2</v>
      </c>
      <c r="H20" s="8" t="n">
        <v>2</v>
      </c>
      <c r="I20" s="8" t="n">
        <v>2</v>
      </c>
      <c r="J20" s="8" t="n">
        <v>2</v>
      </c>
      <c r="K20" s="8" t="n">
        <v>0</v>
      </c>
      <c r="L20" s="8" t="n">
        <v>4</v>
      </c>
      <c r="M20" s="8" t="n">
        <v>0</v>
      </c>
      <c r="N20" s="8" t="n">
        <v>1</v>
      </c>
      <c r="O20" s="8" t="n">
        <v>0</v>
      </c>
      <c r="P20" s="8" t="n">
        <v>0</v>
      </c>
      <c r="Q20" s="8" t="n">
        <v>0</v>
      </c>
      <c r="R20" s="8" t="n">
        <v>3</v>
      </c>
      <c r="S20" s="8" t="n">
        <v>18</v>
      </c>
    </row>
    <row r="21">
      <c r="A21" s="14" t="inlineStr">
        <is>
          <t>23611780178</t>
        </is>
      </c>
      <c r="B21" s="14" t="inlineStr">
        <is>
          <t>8</t>
        </is>
      </c>
      <c r="C21" s="26" t="inlineStr">
        <is>
          <t>HANDE SALONI PRABHAKAR</t>
        </is>
      </c>
      <c r="E21" s="8" t="n">
        <v>2</v>
      </c>
      <c r="F21" s="8" t="n">
        <v>2</v>
      </c>
      <c r="G21" s="8" t="n">
        <v>2</v>
      </c>
      <c r="H21" s="8" t="n">
        <v>2</v>
      </c>
      <c r="I21" s="8" t="n">
        <v>2</v>
      </c>
      <c r="J21" s="8" t="n">
        <v>0</v>
      </c>
      <c r="K21" s="8" t="n">
        <v>0</v>
      </c>
      <c r="L21" s="8" t="n">
        <v>4</v>
      </c>
      <c r="M21" s="8" t="n">
        <v>3</v>
      </c>
      <c r="N21" s="8" t="n">
        <v>4</v>
      </c>
      <c r="O21" s="8" t="n">
        <v>4</v>
      </c>
      <c r="P21" s="8" t="n">
        <v>2</v>
      </c>
      <c r="Q21" s="8" t="n">
        <v>0</v>
      </c>
      <c r="R21" s="8" t="n">
        <v>0</v>
      </c>
      <c r="S21" s="8" t="n">
        <v>27</v>
      </c>
    </row>
    <row r="22">
      <c r="A22" s="14" t="inlineStr">
        <is>
          <t>23611780179</t>
        </is>
      </c>
      <c r="B22" s="14" t="inlineStr">
        <is>
          <t>9</t>
        </is>
      </c>
      <c r="C22" s="26" t="inlineStr">
        <is>
          <t>PINGALKAR VAISHNAVI VIJAY</t>
        </is>
      </c>
      <c r="E22" s="8" t="n">
        <v>2</v>
      </c>
      <c r="F22" s="8" t="n">
        <v>2</v>
      </c>
      <c r="G22" s="8" t="n">
        <v>2</v>
      </c>
      <c r="H22" s="8" t="n">
        <v>2</v>
      </c>
      <c r="I22" s="8" t="n">
        <v>2</v>
      </c>
      <c r="J22" s="8" t="n">
        <v>0</v>
      </c>
      <c r="K22" s="8" t="n">
        <v>0</v>
      </c>
      <c r="L22" s="8" t="n">
        <v>4</v>
      </c>
      <c r="M22" s="8" t="n">
        <v>4</v>
      </c>
      <c r="N22" s="8" t="n">
        <v>0</v>
      </c>
      <c r="O22" s="8" t="n">
        <v>0</v>
      </c>
      <c r="P22" s="8" t="n">
        <v>4</v>
      </c>
      <c r="Q22" s="8" t="n">
        <v>3</v>
      </c>
      <c r="R22" s="8" t="n">
        <v>4</v>
      </c>
      <c r="S22" s="8" t="n">
        <v>29</v>
      </c>
    </row>
    <row r="23">
      <c r="A23" s="14" t="inlineStr">
        <is>
          <t>23611780180</t>
        </is>
      </c>
      <c r="B23" s="14" t="inlineStr">
        <is>
          <t>10</t>
        </is>
      </c>
      <c r="C23" s="26" t="inlineStr">
        <is>
          <t>DEORE SURAJ RAJENDRA</t>
        </is>
      </c>
      <c r="E23" s="8" t="n">
        <v>2</v>
      </c>
      <c r="F23" s="8" t="n">
        <v>0</v>
      </c>
      <c r="G23" s="8" t="n">
        <v>2</v>
      </c>
      <c r="H23" s="8" t="n">
        <v>0</v>
      </c>
      <c r="I23" s="8" t="n">
        <v>2</v>
      </c>
      <c r="J23" s="8" t="n">
        <v>2</v>
      </c>
      <c r="K23" s="8" t="n">
        <v>2</v>
      </c>
      <c r="L23" s="8" t="n">
        <v>4</v>
      </c>
      <c r="M23" s="8" t="n">
        <v>4</v>
      </c>
      <c r="N23" s="8" t="n">
        <v>0</v>
      </c>
      <c r="O23" s="8" t="n">
        <v>4</v>
      </c>
      <c r="P23" s="8" t="n">
        <v>0</v>
      </c>
      <c r="Q23" s="8" t="n">
        <v>0</v>
      </c>
      <c r="R23" s="8" t="n">
        <v>4</v>
      </c>
      <c r="S23" s="8" t="n">
        <v>26</v>
      </c>
    </row>
    <row r="24">
      <c r="A24" s="14" t="inlineStr">
        <is>
          <t>23611780181</t>
        </is>
      </c>
      <c r="B24" s="14" t="inlineStr">
        <is>
          <t>11</t>
        </is>
      </c>
      <c r="C24" s="26" t="inlineStr">
        <is>
          <t>NETKAR YASH DIGAMBAR</t>
        </is>
      </c>
      <c r="E24" s="8" t="n">
        <v>2</v>
      </c>
      <c r="F24" s="8" t="n">
        <v>0</v>
      </c>
      <c r="G24" s="8" t="n">
        <v>2</v>
      </c>
      <c r="H24" s="8" t="n">
        <v>0</v>
      </c>
      <c r="I24" s="8" t="n">
        <v>2</v>
      </c>
      <c r="J24" s="8" t="n">
        <v>2</v>
      </c>
      <c r="K24" s="8" t="n">
        <v>2</v>
      </c>
      <c r="L24" s="8" t="n">
        <v>4</v>
      </c>
      <c r="M24" s="8" t="n">
        <v>4</v>
      </c>
      <c r="N24" s="8" t="n">
        <v>4</v>
      </c>
      <c r="O24" s="8" t="n">
        <v>4</v>
      </c>
      <c r="P24" s="8" t="n">
        <v>4</v>
      </c>
      <c r="Q24" s="8" t="n">
        <v>0</v>
      </c>
      <c r="R24" s="8" t="n">
        <v>0</v>
      </c>
      <c r="S24" s="8" t="n">
        <v>30</v>
      </c>
    </row>
    <row r="25">
      <c r="A25" s="14" t="inlineStr">
        <is>
          <t>23611780182</t>
        </is>
      </c>
      <c r="B25" s="14" t="inlineStr">
        <is>
          <t>12</t>
        </is>
      </c>
      <c r="C25" s="26" t="inlineStr">
        <is>
          <t>MINDE ASHUTOSH SUBHASH</t>
        </is>
      </c>
      <c r="E25" s="8" t="n">
        <v>2</v>
      </c>
      <c r="F25" s="8" t="n">
        <v>2</v>
      </c>
      <c r="G25" s="8" t="n">
        <v>2</v>
      </c>
      <c r="H25" s="8" t="n">
        <v>2</v>
      </c>
      <c r="I25" s="8" t="n">
        <v>0</v>
      </c>
      <c r="J25" s="8" t="n">
        <v>2</v>
      </c>
      <c r="K25" s="8" t="n">
        <v>0</v>
      </c>
      <c r="L25" s="8" t="n">
        <v>4</v>
      </c>
      <c r="M25" s="8" t="n">
        <v>4</v>
      </c>
      <c r="N25" s="8" t="n">
        <v>4</v>
      </c>
      <c r="O25" s="8" t="n">
        <v>4</v>
      </c>
      <c r="P25" s="8" t="n">
        <v>4</v>
      </c>
      <c r="Q25" s="8" t="n">
        <v>0</v>
      </c>
      <c r="R25" s="8" t="n">
        <v>0</v>
      </c>
      <c r="S25" s="8" t="n">
        <v>30</v>
      </c>
    </row>
    <row r="26">
      <c r="A26" s="14" t="inlineStr">
        <is>
          <t>23611780183</t>
        </is>
      </c>
      <c r="B26" s="14" t="inlineStr">
        <is>
          <t>13</t>
        </is>
      </c>
      <c r="C26" s="26" t="inlineStr">
        <is>
          <t>CHAUDHARI CHIRAG SANJAY</t>
        </is>
      </c>
      <c r="E26" s="8" t="n">
        <v>2</v>
      </c>
      <c r="F26" s="8" t="n">
        <v>2</v>
      </c>
      <c r="G26" s="8" t="n">
        <v>2</v>
      </c>
      <c r="H26" s="8" t="n">
        <v>2</v>
      </c>
      <c r="I26" s="8" t="n">
        <v>0</v>
      </c>
      <c r="J26" s="8" t="n">
        <v>2</v>
      </c>
      <c r="K26" s="8" t="n">
        <v>0</v>
      </c>
      <c r="L26" s="8" t="n">
        <v>0</v>
      </c>
      <c r="M26" s="8" t="n">
        <v>0</v>
      </c>
      <c r="N26" s="8" t="n">
        <v>1</v>
      </c>
      <c r="O26" s="8" t="n">
        <v>4</v>
      </c>
      <c r="P26" s="8" t="n">
        <v>0</v>
      </c>
      <c r="Q26" s="8" t="n">
        <v>0</v>
      </c>
      <c r="R26" s="8" t="n">
        <v>4</v>
      </c>
      <c r="S26" s="8" t="n">
        <v>19</v>
      </c>
    </row>
    <row r="27">
      <c r="A27" s="14" t="inlineStr">
        <is>
          <t>23611780184</t>
        </is>
      </c>
      <c r="B27" s="14" t="inlineStr">
        <is>
          <t>14</t>
        </is>
      </c>
      <c r="C27" s="26" t="inlineStr">
        <is>
          <t>AHIRRAO SARVESH SUNIL</t>
        </is>
      </c>
      <c r="E27" s="8" t="n">
        <v>2</v>
      </c>
      <c r="F27" s="8" t="n">
        <v>0</v>
      </c>
      <c r="G27" s="8" t="n">
        <v>2</v>
      </c>
      <c r="H27" s="8" t="n">
        <v>2</v>
      </c>
      <c r="I27" s="8" t="n">
        <v>0</v>
      </c>
      <c r="J27" s="8" t="n">
        <v>2</v>
      </c>
      <c r="K27" s="8" t="n">
        <v>2</v>
      </c>
      <c r="L27" s="8" t="n">
        <v>4</v>
      </c>
      <c r="M27" s="8" t="n">
        <v>0</v>
      </c>
      <c r="N27" s="8" t="n">
        <v>0</v>
      </c>
      <c r="O27" s="8" t="n">
        <v>4</v>
      </c>
      <c r="P27" s="8" t="n">
        <v>4</v>
      </c>
      <c r="Q27" s="8" t="n">
        <v>0</v>
      </c>
      <c r="R27" s="8" t="n">
        <v>4</v>
      </c>
      <c r="S27" s="8" t="n">
        <v>26</v>
      </c>
    </row>
    <row r="28">
      <c r="A28" s="14" t="inlineStr">
        <is>
          <t>23611780185</t>
        </is>
      </c>
      <c r="B28" s="14" t="inlineStr">
        <is>
          <t>15</t>
        </is>
      </c>
      <c r="C28" s="26" t="inlineStr">
        <is>
          <t>SHEJOLE ANSHU SUNIL</t>
        </is>
      </c>
      <c r="E28" s="8" t="n">
        <v>2</v>
      </c>
      <c r="F28" s="8" t="n">
        <v>2</v>
      </c>
      <c r="G28" s="8" t="n">
        <v>2</v>
      </c>
      <c r="H28" s="8" t="n">
        <v>2</v>
      </c>
      <c r="I28" s="8" t="n">
        <v>2</v>
      </c>
      <c r="J28" s="8" t="n">
        <v>0</v>
      </c>
      <c r="K28" s="8" t="n">
        <v>0</v>
      </c>
      <c r="L28" s="8" t="n">
        <v>4</v>
      </c>
      <c r="M28" s="8" t="n">
        <v>4</v>
      </c>
      <c r="N28" s="8" t="n">
        <v>0</v>
      </c>
      <c r="O28" s="8" t="n">
        <v>4</v>
      </c>
      <c r="P28" s="8" t="n">
        <v>4</v>
      </c>
      <c r="Q28" s="8" t="n">
        <v>0</v>
      </c>
      <c r="R28" s="8" t="n">
        <v>4</v>
      </c>
      <c r="S28" s="8" t="n">
        <v>30</v>
      </c>
    </row>
    <row r="29">
      <c r="A29" s="14" t="inlineStr">
        <is>
          <t>23611780186</t>
        </is>
      </c>
      <c r="B29" s="14" t="inlineStr">
        <is>
          <t>16</t>
        </is>
      </c>
      <c r="C29" s="26" t="inlineStr">
        <is>
          <t>SHAIKH FARHEEN HUSSAIN M.</t>
        </is>
      </c>
      <c r="E29" s="8" t="n">
        <v>2</v>
      </c>
      <c r="F29" s="8" t="n">
        <v>2</v>
      </c>
      <c r="G29" s="8" t="n">
        <v>2</v>
      </c>
      <c r="H29" s="8" t="n">
        <v>2</v>
      </c>
      <c r="I29" s="8" t="n">
        <v>2</v>
      </c>
      <c r="J29" s="8" t="n">
        <v>0</v>
      </c>
      <c r="K29" s="8" t="n">
        <v>0</v>
      </c>
      <c r="L29" s="8" t="n">
        <v>4</v>
      </c>
      <c r="M29" s="8" t="n">
        <v>4</v>
      </c>
      <c r="N29" s="8" t="n">
        <v>4</v>
      </c>
      <c r="O29" s="8" t="n">
        <v>4</v>
      </c>
      <c r="P29" s="8" t="n">
        <v>4</v>
      </c>
      <c r="Q29" s="8" t="n">
        <v>0</v>
      </c>
      <c r="R29" s="8" t="n">
        <v>0</v>
      </c>
      <c r="S29" s="8" t="n">
        <v>30</v>
      </c>
    </row>
    <row r="30">
      <c r="A30" s="14" t="inlineStr">
        <is>
          <t>23611780187</t>
        </is>
      </c>
      <c r="B30" s="14" t="inlineStr">
        <is>
          <t>17</t>
        </is>
      </c>
      <c r="C30" s="26" t="inlineStr">
        <is>
          <t>PURE SHREYAS SUBHASH</t>
        </is>
      </c>
      <c r="E30" s="8" t="n">
        <v>2</v>
      </c>
      <c r="F30" s="8" t="n">
        <v>0</v>
      </c>
      <c r="G30" s="8" t="n">
        <v>2</v>
      </c>
      <c r="H30" s="8" t="n">
        <v>2</v>
      </c>
      <c r="I30" s="8" t="n">
        <v>2</v>
      </c>
      <c r="J30" s="8" t="n">
        <v>2</v>
      </c>
      <c r="K30" s="8" t="n">
        <v>0</v>
      </c>
      <c r="L30" s="8" t="n">
        <v>4</v>
      </c>
      <c r="M30" s="8" t="n">
        <v>4</v>
      </c>
      <c r="N30" s="8" t="n">
        <v>0</v>
      </c>
      <c r="O30" s="8" t="n">
        <v>4</v>
      </c>
      <c r="P30" s="8" t="n">
        <v>0</v>
      </c>
      <c r="Q30" s="8" t="n">
        <v>0</v>
      </c>
      <c r="R30" s="8" t="n">
        <v>4</v>
      </c>
      <c r="S30" s="8" t="n">
        <v>26</v>
      </c>
    </row>
    <row r="31">
      <c r="A31" s="14" t="inlineStr">
        <is>
          <t>23611780188</t>
        </is>
      </c>
      <c r="B31" s="14" t="inlineStr">
        <is>
          <t>18</t>
        </is>
      </c>
      <c r="C31" s="26" t="inlineStr">
        <is>
          <t>GANGURDE HEMANT HARI</t>
        </is>
      </c>
      <c r="E31" s="8" t="n">
        <v>2</v>
      </c>
      <c r="F31" s="8" t="n">
        <v>2</v>
      </c>
      <c r="G31" s="8" t="n">
        <v>2</v>
      </c>
      <c r="H31" s="8" t="n">
        <v>0</v>
      </c>
      <c r="I31" s="8" t="n">
        <v>0</v>
      </c>
      <c r="J31" s="8" t="n">
        <v>2</v>
      </c>
      <c r="K31" s="8" t="n">
        <v>2</v>
      </c>
      <c r="L31" s="8" t="n">
        <v>4</v>
      </c>
      <c r="M31" s="8" t="n">
        <v>4</v>
      </c>
      <c r="N31" s="8" t="n">
        <v>1</v>
      </c>
      <c r="O31" s="8" t="n">
        <v>4</v>
      </c>
      <c r="P31" s="8" t="n">
        <v>0</v>
      </c>
      <c r="Q31" s="8" t="n">
        <v>0</v>
      </c>
      <c r="R31" s="8" t="n">
        <v>2</v>
      </c>
      <c r="S31" s="8" t="n">
        <v>25</v>
      </c>
    </row>
    <row r="32">
      <c r="A32" s="14" t="inlineStr">
        <is>
          <t>23611780189</t>
        </is>
      </c>
      <c r="B32" s="14" t="inlineStr">
        <is>
          <t>19</t>
        </is>
      </c>
      <c r="C32" s="26" t="inlineStr">
        <is>
          <t>KOR LOKESH SATISH</t>
        </is>
      </c>
      <c r="E32" s="8" t="n">
        <v>2</v>
      </c>
      <c r="F32" s="8" t="n">
        <v>2</v>
      </c>
      <c r="G32" s="8" t="n">
        <v>2</v>
      </c>
      <c r="H32" s="8" t="n">
        <v>2</v>
      </c>
      <c r="I32" s="8" t="n">
        <v>0</v>
      </c>
      <c r="J32" s="8" t="n">
        <v>2</v>
      </c>
      <c r="K32" s="8" t="n">
        <v>0</v>
      </c>
      <c r="L32" s="8" t="n">
        <v>4</v>
      </c>
      <c r="M32" s="8" t="n">
        <v>4</v>
      </c>
      <c r="N32" s="8" t="n">
        <v>0</v>
      </c>
      <c r="O32" s="8" t="n">
        <v>4</v>
      </c>
      <c r="P32" s="8" t="n">
        <v>4</v>
      </c>
      <c r="Q32" s="8" t="n">
        <v>0</v>
      </c>
      <c r="R32" s="8" t="n">
        <v>4</v>
      </c>
      <c r="S32" s="8" t="n">
        <v>30</v>
      </c>
    </row>
    <row r="33">
      <c r="A33" s="14" t="inlineStr">
        <is>
          <t>23611780190</t>
        </is>
      </c>
      <c r="B33" s="14" t="inlineStr">
        <is>
          <t>20</t>
        </is>
      </c>
      <c r="C33" s="26" t="inlineStr">
        <is>
          <t>DEORE VAISHNAVI DILIP</t>
        </is>
      </c>
      <c r="E33" s="8" t="n">
        <v>2</v>
      </c>
      <c r="F33" s="8" t="n">
        <v>0</v>
      </c>
      <c r="G33" s="8" t="n">
        <v>2</v>
      </c>
      <c r="H33" s="8" t="n">
        <v>2</v>
      </c>
      <c r="I33" s="8" t="n">
        <v>2</v>
      </c>
      <c r="J33" s="8" t="n">
        <v>2</v>
      </c>
      <c r="K33" s="8" t="n">
        <v>0</v>
      </c>
      <c r="L33" s="8" t="n">
        <v>4</v>
      </c>
      <c r="M33" s="8" t="n">
        <v>4</v>
      </c>
      <c r="N33" s="8" t="n">
        <v>0</v>
      </c>
      <c r="O33" s="8" t="n">
        <v>4</v>
      </c>
      <c r="P33" s="8" t="n">
        <v>4</v>
      </c>
      <c r="Q33" s="8" t="n">
        <v>0</v>
      </c>
      <c r="R33" s="8" t="n">
        <v>2</v>
      </c>
      <c r="S33" s="8" t="n">
        <v>28</v>
      </c>
    </row>
    <row r="34">
      <c r="A34" s="14" t="inlineStr">
        <is>
          <t>23611780191</t>
        </is>
      </c>
      <c r="B34" s="14" t="inlineStr">
        <is>
          <t>21</t>
        </is>
      </c>
      <c r="C34" s="26" t="inlineStr">
        <is>
          <t>MAHAJAN RADHIKA KANTILAL</t>
        </is>
      </c>
      <c r="E34" s="8" t="n">
        <v>2</v>
      </c>
      <c r="F34" s="8" t="n">
        <v>2</v>
      </c>
      <c r="G34" s="8" t="n">
        <v>2</v>
      </c>
      <c r="H34" s="8" t="n">
        <v>2</v>
      </c>
      <c r="I34" s="8" t="n">
        <v>2</v>
      </c>
      <c r="J34" s="8" t="n">
        <v>0</v>
      </c>
      <c r="K34" s="8" t="n">
        <v>0</v>
      </c>
      <c r="L34" s="8" t="n">
        <v>3</v>
      </c>
      <c r="M34" s="8" t="n">
        <v>4</v>
      </c>
      <c r="N34" s="8" t="n">
        <v>0</v>
      </c>
      <c r="O34" s="8" t="n">
        <v>4</v>
      </c>
      <c r="P34" s="8" t="n">
        <v>0</v>
      </c>
      <c r="Q34" s="8" t="n">
        <v>0</v>
      </c>
      <c r="R34" s="8" t="n">
        <v>4</v>
      </c>
      <c r="S34" s="8" t="n">
        <v>25</v>
      </c>
    </row>
    <row r="35">
      <c r="A35" s="14" t="inlineStr">
        <is>
          <t>23611780192</t>
        </is>
      </c>
      <c r="B35" s="14" t="inlineStr">
        <is>
          <t>22</t>
        </is>
      </c>
      <c r="C35" s="26" t="inlineStr">
        <is>
          <t>DESHMANE PURVA SANTOSH</t>
        </is>
      </c>
      <c r="E35" s="8" t="n">
        <v>2</v>
      </c>
      <c r="F35" s="8" t="n">
        <v>2</v>
      </c>
      <c r="G35" s="8" t="n">
        <v>2</v>
      </c>
      <c r="H35" s="8" t="n">
        <v>2</v>
      </c>
      <c r="I35" s="8" t="n">
        <v>2</v>
      </c>
      <c r="J35" s="8" t="n">
        <v>0</v>
      </c>
      <c r="K35" s="8" t="n">
        <v>0</v>
      </c>
      <c r="L35" s="8" t="n">
        <v>4</v>
      </c>
      <c r="M35" s="8" t="n">
        <v>4</v>
      </c>
      <c r="N35" s="8" t="n">
        <v>4</v>
      </c>
      <c r="O35" s="8" t="n">
        <v>0</v>
      </c>
      <c r="P35" s="8" t="n">
        <v>4</v>
      </c>
      <c r="Q35" s="8" t="n">
        <v>4</v>
      </c>
      <c r="R35" s="8" t="n">
        <v>0</v>
      </c>
      <c r="S35" s="8" t="n">
        <v>30</v>
      </c>
    </row>
    <row r="36">
      <c r="A36" s="14" t="inlineStr">
        <is>
          <t>23611780193</t>
        </is>
      </c>
      <c r="B36" s="14" t="inlineStr">
        <is>
          <t>23</t>
        </is>
      </c>
      <c r="C36" s="26" t="inlineStr">
        <is>
          <t>CHITTE GRISHMA RAVINDRA</t>
        </is>
      </c>
      <c r="E36" s="8" t="n">
        <v>0</v>
      </c>
      <c r="F36" s="8" t="n">
        <v>2</v>
      </c>
      <c r="G36" s="8" t="n">
        <v>2</v>
      </c>
      <c r="H36" s="8" t="n">
        <v>2</v>
      </c>
      <c r="I36" s="8" t="n">
        <v>2</v>
      </c>
      <c r="J36" s="8" t="n">
        <v>2</v>
      </c>
      <c r="K36" s="8" t="n">
        <v>0</v>
      </c>
      <c r="L36" s="8" t="n">
        <v>4</v>
      </c>
      <c r="M36" s="8" t="n">
        <v>4</v>
      </c>
      <c r="N36" s="8" t="n">
        <v>4</v>
      </c>
      <c r="O36" s="8" t="n">
        <v>4</v>
      </c>
      <c r="P36" s="8" t="n">
        <v>4</v>
      </c>
      <c r="Q36" s="8" t="n">
        <v>0</v>
      </c>
      <c r="R36" s="8" t="n">
        <v>0</v>
      </c>
      <c r="S36" s="8" t="n">
        <v>30</v>
      </c>
    </row>
    <row r="37">
      <c r="A37" s="14" t="inlineStr">
        <is>
          <t>23611780194</t>
        </is>
      </c>
      <c r="B37" s="14" t="inlineStr">
        <is>
          <t>24</t>
        </is>
      </c>
      <c r="C37" s="26" t="inlineStr">
        <is>
          <t>JADHAV SHUBHAM T.</t>
        </is>
      </c>
      <c r="E37" s="8" t="n">
        <v>2</v>
      </c>
      <c r="F37" s="8" t="n">
        <v>2</v>
      </c>
      <c r="G37" s="8" t="n">
        <v>2</v>
      </c>
      <c r="H37" s="8" t="n">
        <v>2</v>
      </c>
      <c r="I37" s="8" t="n">
        <v>2</v>
      </c>
      <c r="J37" s="8" t="n">
        <v>0</v>
      </c>
      <c r="K37" s="8" t="n">
        <v>0</v>
      </c>
      <c r="L37" s="8" t="n">
        <v>3</v>
      </c>
      <c r="M37" s="8" t="n">
        <v>0</v>
      </c>
      <c r="N37" s="8" t="n">
        <v>0</v>
      </c>
      <c r="O37" s="8" t="n">
        <v>0</v>
      </c>
      <c r="P37" s="8" t="n">
        <v>0</v>
      </c>
      <c r="Q37" s="8" t="n">
        <v>0</v>
      </c>
      <c r="R37" s="8" t="n">
        <v>2</v>
      </c>
      <c r="S37" s="8" t="n">
        <v>15</v>
      </c>
    </row>
    <row r="38">
      <c r="A38" s="14" t="inlineStr">
        <is>
          <t>23611780195</t>
        </is>
      </c>
      <c r="B38" s="14" t="inlineStr">
        <is>
          <t>25</t>
        </is>
      </c>
      <c r="C38" s="26" t="inlineStr">
        <is>
          <t>PAWAR KARANSING J.</t>
        </is>
      </c>
      <c r="E38" s="8" t="n">
        <v>2</v>
      </c>
      <c r="F38" s="8" t="n">
        <v>0</v>
      </c>
      <c r="G38" s="8" t="n">
        <v>2</v>
      </c>
      <c r="H38" s="8" t="n">
        <v>2</v>
      </c>
      <c r="I38" s="8" t="n">
        <v>2</v>
      </c>
      <c r="J38" s="8" t="n">
        <v>2</v>
      </c>
      <c r="K38" s="8" t="n">
        <v>0</v>
      </c>
      <c r="L38" s="8" t="n">
        <v>4</v>
      </c>
      <c r="M38" s="8" t="n">
        <v>4</v>
      </c>
      <c r="N38" s="8" t="n">
        <v>0</v>
      </c>
      <c r="O38" s="8" t="n">
        <v>4</v>
      </c>
      <c r="P38" s="8" t="n">
        <v>4</v>
      </c>
      <c r="Q38" s="8" t="n">
        <v>3</v>
      </c>
      <c r="R38" s="8" t="n">
        <v>0</v>
      </c>
      <c r="S38" s="8" t="n">
        <v>29</v>
      </c>
    </row>
    <row r="39">
      <c r="A39" s="14" t="inlineStr">
        <is>
          <t>23611780196</t>
        </is>
      </c>
      <c r="B39" s="14" t="inlineStr">
        <is>
          <t>26</t>
        </is>
      </c>
      <c r="C39" s="26" t="inlineStr">
        <is>
          <t>GADHARI KIRTI DATTU</t>
        </is>
      </c>
      <c r="E39" s="8" t="n">
        <v>2</v>
      </c>
      <c r="F39" s="8" t="n">
        <v>2</v>
      </c>
      <c r="G39" s="8" t="n">
        <v>2</v>
      </c>
      <c r="H39" s="8" t="n">
        <v>2</v>
      </c>
      <c r="I39" s="8" t="n">
        <v>0</v>
      </c>
      <c r="J39" s="8" t="n">
        <v>2</v>
      </c>
      <c r="K39" s="8" t="n">
        <v>0</v>
      </c>
      <c r="L39" s="8" t="n">
        <v>4</v>
      </c>
      <c r="M39" s="8" t="n">
        <v>4</v>
      </c>
      <c r="N39" s="8" t="n">
        <v>0</v>
      </c>
      <c r="O39" s="8" t="n">
        <v>4</v>
      </c>
      <c r="P39" s="8" t="n">
        <v>0</v>
      </c>
      <c r="Q39" s="8" t="n">
        <v>3</v>
      </c>
      <c r="R39" s="8" t="n">
        <v>0</v>
      </c>
      <c r="S39" s="8" t="n">
        <v>25</v>
      </c>
    </row>
    <row r="40">
      <c r="A40" s="14" t="inlineStr">
        <is>
          <t>23611780197</t>
        </is>
      </c>
      <c r="B40" s="14" t="inlineStr">
        <is>
          <t>27</t>
        </is>
      </c>
      <c r="C40" s="26" t="inlineStr">
        <is>
          <t>MORE ADITYA SANJAY</t>
        </is>
      </c>
      <c r="E40" s="8" t="n">
        <v>2</v>
      </c>
      <c r="F40" s="8" t="n">
        <v>2</v>
      </c>
      <c r="G40" s="8" t="n">
        <v>2</v>
      </c>
      <c r="H40" s="8" t="n">
        <v>2</v>
      </c>
      <c r="I40" s="8" t="n">
        <v>2</v>
      </c>
      <c r="J40" s="8" t="n">
        <v>0</v>
      </c>
      <c r="K40" s="8" t="n">
        <v>0</v>
      </c>
      <c r="L40" s="8" t="n">
        <v>4</v>
      </c>
      <c r="M40" s="8" t="n">
        <v>4</v>
      </c>
      <c r="N40" s="8" t="n">
        <v>4</v>
      </c>
      <c r="O40" s="8" t="n">
        <v>4</v>
      </c>
      <c r="P40" s="8" t="n">
        <v>0</v>
      </c>
      <c r="Q40" s="8" t="n">
        <v>4</v>
      </c>
      <c r="R40" s="8" t="n">
        <v>0</v>
      </c>
      <c r="S40" s="8" t="n">
        <v>30</v>
      </c>
    </row>
    <row r="41">
      <c r="A41" s="14" t="inlineStr">
        <is>
          <t>23611780198</t>
        </is>
      </c>
      <c r="B41" s="14" t="inlineStr">
        <is>
          <t>28</t>
        </is>
      </c>
      <c r="C41" s="26" t="inlineStr">
        <is>
          <t>DHIVARE BHAVESH GAUTAM</t>
        </is>
      </c>
      <c r="E41" s="8" t="n">
        <v>2</v>
      </c>
      <c r="F41" s="8" t="n">
        <v>0</v>
      </c>
      <c r="G41" s="8" t="n">
        <v>2</v>
      </c>
      <c r="H41" s="8" t="n">
        <v>2</v>
      </c>
      <c r="I41" s="8" t="n">
        <v>2</v>
      </c>
      <c r="J41" s="8" t="n">
        <v>0</v>
      </c>
      <c r="K41" s="8" t="n">
        <v>2</v>
      </c>
      <c r="L41" s="8" t="n">
        <v>4</v>
      </c>
      <c r="M41" s="8" t="n">
        <v>4</v>
      </c>
      <c r="N41" s="8" t="n">
        <v>0</v>
      </c>
      <c r="O41" s="8" t="n">
        <v>0</v>
      </c>
      <c r="P41" s="8" t="n">
        <v>0</v>
      </c>
      <c r="Q41" s="8" t="n">
        <v>2</v>
      </c>
      <c r="R41" s="8" t="n">
        <v>0</v>
      </c>
      <c r="S41" s="8" t="n">
        <v>20</v>
      </c>
    </row>
    <row r="42">
      <c r="A42" s="14" t="inlineStr">
        <is>
          <t>23611780199</t>
        </is>
      </c>
      <c r="B42" s="14" t="inlineStr">
        <is>
          <t>29</t>
        </is>
      </c>
      <c r="C42" s="26" t="inlineStr">
        <is>
          <t>SAMUDRE PRATIK RAJENDRA</t>
        </is>
      </c>
      <c r="E42" s="8" t="n">
        <v>2</v>
      </c>
      <c r="F42" s="8" t="n">
        <v>2</v>
      </c>
      <c r="G42" s="8" t="n">
        <v>2</v>
      </c>
      <c r="H42" s="8" t="n">
        <v>2</v>
      </c>
      <c r="I42" s="8" t="n">
        <v>2</v>
      </c>
      <c r="J42" s="8" t="n">
        <v>0</v>
      </c>
      <c r="K42" s="8" t="n">
        <v>0</v>
      </c>
      <c r="L42" s="8" t="n">
        <v>3</v>
      </c>
      <c r="M42" s="8" t="n">
        <v>4</v>
      </c>
      <c r="N42" s="8" t="n">
        <v>4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21</v>
      </c>
    </row>
    <row r="43">
      <c r="A43" s="14" t="inlineStr">
        <is>
          <t>23611780200</t>
        </is>
      </c>
      <c r="B43" s="14" t="inlineStr">
        <is>
          <t>30</t>
        </is>
      </c>
      <c r="C43" s="26" t="inlineStr">
        <is>
          <t>AHIRRAO MANASWI ANIL</t>
        </is>
      </c>
      <c r="E43" s="8" t="n">
        <v>2</v>
      </c>
      <c r="F43" s="8" t="n">
        <v>2</v>
      </c>
      <c r="G43" s="8" t="n">
        <v>2</v>
      </c>
      <c r="H43" s="8" t="n">
        <v>0</v>
      </c>
      <c r="I43" s="8" t="n">
        <v>2</v>
      </c>
      <c r="J43" s="8" t="n">
        <v>2</v>
      </c>
      <c r="K43" s="8" t="n">
        <v>0</v>
      </c>
      <c r="L43" s="8" t="n">
        <v>4</v>
      </c>
      <c r="M43" s="8" t="n">
        <v>3</v>
      </c>
      <c r="N43" s="8" t="n">
        <v>0</v>
      </c>
      <c r="O43" s="8" t="n">
        <v>0</v>
      </c>
      <c r="P43" s="8" t="n">
        <v>0</v>
      </c>
      <c r="Q43" s="8" t="n">
        <v>2</v>
      </c>
      <c r="R43" s="8" t="n">
        <v>4</v>
      </c>
      <c r="S43" s="8" t="n">
        <v>23</v>
      </c>
    </row>
    <row r="44">
      <c r="A44" s="14" t="inlineStr">
        <is>
          <t>23611780201</t>
        </is>
      </c>
      <c r="B44" s="14" t="inlineStr">
        <is>
          <t>31</t>
        </is>
      </c>
      <c r="C44" s="26" t="inlineStr">
        <is>
          <t>MORE SWAPNIL SATISH</t>
        </is>
      </c>
      <c r="E44" s="8" t="n">
        <v>2</v>
      </c>
      <c r="F44" s="8" t="n">
        <v>2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1</v>
      </c>
      <c r="O44" s="8" t="n">
        <v>3</v>
      </c>
      <c r="P44" s="8" t="n">
        <v>3</v>
      </c>
      <c r="Q44" s="8" t="n">
        <v>0</v>
      </c>
      <c r="R44" s="8" t="n">
        <v>0</v>
      </c>
      <c r="S44" s="8" t="n">
        <v>11</v>
      </c>
    </row>
    <row r="45">
      <c r="A45" s="14" t="inlineStr">
        <is>
          <t>23611780202</t>
        </is>
      </c>
      <c r="B45" s="14" t="inlineStr">
        <is>
          <t>32</t>
        </is>
      </c>
      <c r="C45" s="26" t="inlineStr">
        <is>
          <t>RAUTMALE CHETAN SURESH</t>
        </is>
      </c>
      <c r="E45" s="8" t="n">
        <v>2</v>
      </c>
      <c r="F45" s="8" t="n">
        <v>2</v>
      </c>
      <c r="G45" s="8" t="n">
        <v>2</v>
      </c>
      <c r="H45" s="8" t="n">
        <v>2</v>
      </c>
      <c r="I45" s="8" t="n">
        <v>2</v>
      </c>
      <c r="J45" s="8" t="n">
        <v>0</v>
      </c>
      <c r="K45" s="8" t="n">
        <v>0</v>
      </c>
      <c r="L45" s="8" t="n">
        <v>4</v>
      </c>
      <c r="M45" s="8" t="n">
        <v>4</v>
      </c>
      <c r="N45" s="8" t="n">
        <v>4</v>
      </c>
      <c r="O45" s="8" t="n">
        <v>0</v>
      </c>
      <c r="P45" s="8" t="n">
        <v>4</v>
      </c>
      <c r="Q45" s="8" t="n">
        <v>0</v>
      </c>
      <c r="R45" s="8" t="n">
        <v>4</v>
      </c>
      <c r="S45" s="8" t="n">
        <v>30</v>
      </c>
    </row>
    <row r="46">
      <c r="A46" s="14" t="inlineStr">
        <is>
          <t>23611780203</t>
        </is>
      </c>
      <c r="B46" s="14" t="inlineStr">
        <is>
          <t>33</t>
        </is>
      </c>
      <c r="C46" s="26" t="inlineStr">
        <is>
          <t>SALVE SOHAM GAJANAN</t>
        </is>
      </c>
      <c r="E46" s="8" t="n">
        <v>2</v>
      </c>
      <c r="F46" s="8" t="n">
        <v>0</v>
      </c>
      <c r="G46" s="8" t="n">
        <v>2</v>
      </c>
      <c r="H46" s="8" t="n">
        <v>2</v>
      </c>
      <c r="I46" s="8" t="n">
        <v>2</v>
      </c>
      <c r="J46" s="8" t="n">
        <v>2</v>
      </c>
      <c r="K46" s="8" t="n">
        <v>0</v>
      </c>
      <c r="L46" s="8" t="n">
        <v>3</v>
      </c>
      <c r="M46" s="8" t="n">
        <v>3</v>
      </c>
      <c r="N46" s="8" t="n">
        <v>0</v>
      </c>
      <c r="O46" s="8" t="n">
        <v>0</v>
      </c>
      <c r="P46" s="8" t="n">
        <v>4</v>
      </c>
      <c r="Q46" s="8" t="n">
        <v>0</v>
      </c>
      <c r="R46" s="8" t="n">
        <v>4</v>
      </c>
      <c r="S46" s="8" t="n">
        <v>24</v>
      </c>
    </row>
    <row r="47">
      <c r="A47" s="14" t="inlineStr">
        <is>
          <t>23611780204</t>
        </is>
      </c>
      <c r="B47" s="14" t="inlineStr">
        <is>
          <t>34</t>
        </is>
      </c>
      <c r="C47" s="26" t="inlineStr">
        <is>
          <t>GHODSARE ROSHAN ARUN</t>
        </is>
      </c>
      <c r="E47" s="8" t="n">
        <v>2</v>
      </c>
      <c r="F47" s="8" t="n">
        <v>2</v>
      </c>
      <c r="G47" s="8" t="n">
        <v>2</v>
      </c>
      <c r="H47" s="8" t="n">
        <v>2</v>
      </c>
      <c r="I47" s="8" t="n">
        <v>2</v>
      </c>
      <c r="J47" s="8" t="n">
        <v>0</v>
      </c>
      <c r="K47" s="8" t="n">
        <v>0</v>
      </c>
      <c r="L47" s="8" t="n">
        <v>4</v>
      </c>
      <c r="M47" s="8" t="n">
        <v>4</v>
      </c>
      <c r="N47" s="8" t="n">
        <v>0</v>
      </c>
      <c r="O47" s="8" t="n">
        <v>4</v>
      </c>
      <c r="P47" s="8" t="n">
        <v>4</v>
      </c>
      <c r="Q47" s="8" t="n">
        <v>0</v>
      </c>
      <c r="R47" s="8" t="n">
        <v>4</v>
      </c>
      <c r="S47" s="8" t="n">
        <v>30</v>
      </c>
    </row>
    <row r="48">
      <c r="A48" s="14" t="inlineStr">
        <is>
          <t>23611780205</t>
        </is>
      </c>
      <c r="B48" s="14" t="inlineStr">
        <is>
          <t>35</t>
        </is>
      </c>
      <c r="C48" s="26" t="inlineStr">
        <is>
          <t>AHIRE CHARUDATTA SUBHASH</t>
        </is>
      </c>
      <c r="E48" s="8" t="n">
        <v>2</v>
      </c>
      <c r="F48" s="8" t="n">
        <v>0</v>
      </c>
      <c r="G48" s="8" t="n">
        <v>2</v>
      </c>
      <c r="H48" s="8" t="n">
        <v>2</v>
      </c>
      <c r="I48" s="8" t="n">
        <v>0</v>
      </c>
      <c r="J48" s="8" t="n">
        <v>1</v>
      </c>
      <c r="K48" s="8" t="n">
        <v>2</v>
      </c>
      <c r="L48" s="8" t="n">
        <v>0</v>
      </c>
      <c r="M48" s="8" t="n">
        <v>4</v>
      </c>
      <c r="N48" s="8" t="n">
        <v>0</v>
      </c>
      <c r="O48" s="8" t="n">
        <v>4</v>
      </c>
      <c r="P48" s="8" t="n">
        <v>4</v>
      </c>
      <c r="Q48" s="8" t="n">
        <v>4</v>
      </c>
      <c r="R48" s="8" t="n">
        <v>4</v>
      </c>
      <c r="S48" s="8" t="n">
        <v>29</v>
      </c>
    </row>
    <row r="49">
      <c r="A49" s="14" t="inlineStr">
        <is>
          <t>23611780206</t>
        </is>
      </c>
      <c r="B49" s="14" t="inlineStr">
        <is>
          <t>36</t>
        </is>
      </c>
      <c r="C49" s="26" t="inlineStr">
        <is>
          <t>BANKAR VISHAKHA RANJEET</t>
        </is>
      </c>
      <c r="E49" s="8" t="n">
        <v>2</v>
      </c>
      <c r="F49" s="8" t="n">
        <v>2</v>
      </c>
      <c r="G49" s="8" t="n">
        <v>2</v>
      </c>
      <c r="H49" s="8" t="n">
        <v>2</v>
      </c>
      <c r="I49" s="8" t="n">
        <v>0</v>
      </c>
      <c r="J49" s="8" t="n">
        <v>2</v>
      </c>
      <c r="K49" s="8" t="n">
        <v>0</v>
      </c>
      <c r="L49" s="8" t="n">
        <v>4</v>
      </c>
      <c r="M49" s="8" t="n">
        <v>4</v>
      </c>
      <c r="N49" s="8" t="n">
        <v>1</v>
      </c>
      <c r="O49" s="8" t="n">
        <v>0</v>
      </c>
      <c r="P49" s="8" t="n">
        <v>0</v>
      </c>
      <c r="Q49" s="8" t="n">
        <v>0</v>
      </c>
      <c r="R49" s="8" t="n">
        <v>4</v>
      </c>
      <c r="S49" s="8" t="n">
        <v>23</v>
      </c>
    </row>
    <row r="50">
      <c r="A50" s="14" t="inlineStr">
        <is>
          <t>23611780207</t>
        </is>
      </c>
      <c r="B50" s="14" t="inlineStr">
        <is>
          <t>37</t>
        </is>
      </c>
      <c r="C50" s="26" t="inlineStr">
        <is>
          <t>PAWAR POOJA RESHMABAI</t>
        </is>
      </c>
      <c r="E50" s="8" t="n">
        <v>2</v>
      </c>
      <c r="F50" s="8" t="n">
        <v>2</v>
      </c>
      <c r="G50" s="8" t="n">
        <v>2</v>
      </c>
      <c r="H50" s="8" t="n">
        <v>2</v>
      </c>
      <c r="I50" s="8" t="n">
        <v>2</v>
      </c>
      <c r="J50" s="8" t="n">
        <v>0</v>
      </c>
      <c r="K50" s="8" t="n">
        <v>0</v>
      </c>
      <c r="L50" s="8" t="n">
        <v>4</v>
      </c>
      <c r="M50" s="8" t="n">
        <v>4</v>
      </c>
      <c r="N50" s="8" t="n">
        <v>4</v>
      </c>
      <c r="O50" s="8" t="n">
        <v>4</v>
      </c>
      <c r="P50" s="8" t="n">
        <v>4</v>
      </c>
      <c r="Q50" s="8" t="n">
        <v>0</v>
      </c>
      <c r="R50" s="8" t="n">
        <v>0</v>
      </c>
      <c r="S50" s="8" t="n">
        <v>30</v>
      </c>
    </row>
    <row r="51">
      <c r="A51" s="14" t="inlineStr">
        <is>
          <t>23611780208</t>
        </is>
      </c>
      <c r="B51" s="14" t="inlineStr">
        <is>
          <t>38</t>
        </is>
      </c>
      <c r="C51" s="26" t="inlineStr">
        <is>
          <t>SAINDANE SEJAL PANKAJ</t>
        </is>
      </c>
      <c r="E51" s="8" t="n">
        <v>2</v>
      </c>
      <c r="F51" s="8" t="n">
        <v>0</v>
      </c>
      <c r="G51" s="8" t="n">
        <v>2</v>
      </c>
      <c r="H51" s="8" t="n">
        <v>2</v>
      </c>
      <c r="I51" s="8" t="n">
        <v>2</v>
      </c>
      <c r="J51" s="8" t="n">
        <v>2</v>
      </c>
      <c r="K51" s="8" t="n">
        <v>0</v>
      </c>
      <c r="L51" s="8" t="n">
        <v>4</v>
      </c>
      <c r="M51" s="8" t="n">
        <v>0</v>
      </c>
      <c r="N51" s="8" t="n">
        <v>0</v>
      </c>
      <c r="O51" s="8" t="n">
        <v>0</v>
      </c>
      <c r="P51" s="8" t="n">
        <v>0</v>
      </c>
      <c r="Q51" s="8" t="n">
        <v>0</v>
      </c>
      <c r="R51" s="8" t="n">
        <v>0</v>
      </c>
      <c r="S51" s="8" t="n">
        <v>14</v>
      </c>
    </row>
    <row r="52">
      <c r="A52" s="14" t="inlineStr">
        <is>
          <t>23611780209</t>
        </is>
      </c>
      <c r="B52" s="14" t="inlineStr">
        <is>
          <t>39</t>
        </is>
      </c>
      <c r="C52" s="26" t="inlineStr">
        <is>
          <t>KARTULE ABHAY KALU</t>
        </is>
      </c>
      <c r="E52" s="8" t="n">
        <v>2</v>
      </c>
      <c r="F52" s="8" t="n">
        <v>0</v>
      </c>
      <c r="G52" s="8" t="n">
        <v>2</v>
      </c>
      <c r="H52" s="8" t="n">
        <v>2</v>
      </c>
      <c r="I52" s="8" t="n">
        <v>0</v>
      </c>
      <c r="J52" s="8" t="n">
        <v>2</v>
      </c>
      <c r="K52" s="8" t="n">
        <v>0</v>
      </c>
      <c r="L52" s="8" t="n">
        <v>1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9</v>
      </c>
    </row>
    <row r="53">
      <c r="A53" s="14" t="inlineStr">
        <is>
          <t>23611780210</t>
        </is>
      </c>
      <c r="B53" s="14" t="inlineStr">
        <is>
          <t>40</t>
        </is>
      </c>
      <c r="C53" s="26" t="inlineStr">
        <is>
          <t>SAPKAL SOMESH MANOHAR</t>
        </is>
      </c>
      <c r="E53" s="8" t="n">
        <v>0</v>
      </c>
      <c r="F53" s="8" t="n">
        <v>2</v>
      </c>
      <c r="G53" s="8" t="n">
        <v>2</v>
      </c>
      <c r="H53" s="8" t="n">
        <v>2</v>
      </c>
      <c r="I53" s="8" t="n">
        <v>2</v>
      </c>
      <c r="J53" s="8" t="n">
        <v>2</v>
      </c>
      <c r="K53" s="8" t="n">
        <v>0</v>
      </c>
      <c r="L53" s="8" t="n">
        <v>4</v>
      </c>
      <c r="M53" s="8" t="n">
        <v>4</v>
      </c>
      <c r="N53" s="8" t="n">
        <v>0</v>
      </c>
      <c r="O53" s="8" t="n">
        <v>4</v>
      </c>
      <c r="P53" s="8" t="n">
        <v>4</v>
      </c>
      <c r="Q53" s="8" t="n">
        <v>4</v>
      </c>
      <c r="R53" s="8" t="n">
        <v>0</v>
      </c>
      <c r="S53" s="8" t="n">
        <v>30</v>
      </c>
    </row>
    <row r="54">
      <c r="A54" s="14" t="inlineStr">
        <is>
          <t>23611780211</t>
        </is>
      </c>
      <c r="B54" s="14" t="inlineStr">
        <is>
          <t>41</t>
        </is>
      </c>
      <c r="C54" s="26" t="inlineStr">
        <is>
          <t>MANDWADE CHAITANYA VIJAY</t>
        </is>
      </c>
      <c r="E54" s="8" t="n">
        <v>2</v>
      </c>
      <c r="F54" s="8" t="n">
        <v>2</v>
      </c>
      <c r="G54" s="8" t="n">
        <v>2</v>
      </c>
      <c r="H54" s="8" t="n">
        <v>2</v>
      </c>
      <c r="I54" s="8" t="n">
        <v>2</v>
      </c>
      <c r="J54" s="8" t="n">
        <v>0</v>
      </c>
      <c r="K54" s="8" t="n">
        <v>0</v>
      </c>
      <c r="L54" s="8" t="n">
        <v>4</v>
      </c>
      <c r="M54" s="8" t="n">
        <v>4</v>
      </c>
      <c r="N54" s="8" t="n">
        <v>4</v>
      </c>
      <c r="O54" s="8" t="n">
        <v>0</v>
      </c>
      <c r="P54" s="8" t="n">
        <v>4</v>
      </c>
      <c r="Q54" s="8" t="n">
        <v>4</v>
      </c>
      <c r="R54" s="8" t="n">
        <v>0</v>
      </c>
      <c r="S54" s="8" t="n">
        <v>30</v>
      </c>
    </row>
    <row r="55">
      <c r="A55" s="14" t="inlineStr">
        <is>
          <t>23611780212</t>
        </is>
      </c>
      <c r="B55" s="14" t="inlineStr">
        <is>
          <t>42</t>
        </is>
      </c>
      <c r="C55" s="26" t="inlineStr">
        <is>
          <t>SURYAWANSHI PRATIK M.</t>
        </is>
      </c>
      <c r="E55" s="8" t="n">
        <v>2</v>
      </c>
      <c r="F55" s="8" t="n">
        <v>2</v>
      </c>
      <c r="G55" s="8" t="n">
        <v>2</v>
      </c>
      <c r="H55" s="8" t="n">
        <v>0</v>
      </c>
      <c r="I55" s="8" t="n">
        <v>2</v>
      </c>
      <c r="J55" s="8" t="n">
        <v>2</v>
      </c>
      <c r="K55" s="8" t="n">
        <v>0</v>
      </c>
      <c r="L55" s="8" t="n">
        <v>4</v>
      </c>
      <c r="M55" s="8" t="n">
        <v>4</v>
      </c>
      <c r="N55" s="8" t="n">
        <v>1</v>
      </c>
      <c r="O55" s="8" t="n">
        <v>0</v>
      </c>
      <c r="P55" s="8" t="n">
        <v>1</v>
      </c>
      <c r="Q55" s="8" t="n">
        <v>4</v>
      </c>
      <c r="R55" s="8" t="n">
        <v>0</v>
      </c>
      <c r="S55" s="8" t="n">
        <v>24</v>
      </c>
    </row>
    <row r="56">
      <c r="A56" s="14" t="inlineStr">
        <is>
          <t>23611780213</t>
        </is>
      </c>
      <c r="B56" s="14" t="inlineStr">
        <is>
          <t>43</t>
        </is>
      </c>
      <c r="C56" s="26" t="inlineStr">
        <is>
          <t>GUJARE AMBIKA SHANTARAM</t>
        </is>
      </c>
      <c r="E56" s="8" t="n">
        <v>2</v>
      </c>
      <c r="F56" s="8" t="n">
        <v>2</v>
      </c>
      <c r="G56" s="8" t="n">
        <v>2</v>
      </c>
      <c r="H56" s="8" t="n">
        <v>2</v>
      </c>
      <c r="I56" s="8" t="n">
        <v>2</v>
      </c>
      <c r="J56" s="8" t="n">
        <v>0</v>
      </c>
      <c r="K56" s="8" t="n">
        <v>0</v>
      </c>
      <c r="L56" s="8" t="n">
        <v>4</v>
      </c>
      <c r="M56" s="8" t="n">
        <v>4</v>
      </c>
      <c r="N56" s="8" t="n">
        <v>0</v>
      </c>
      <c r="O56" s="8" t="n">
        <v>0</v>
      </c>
      <c r="P56" s="8" t="n">
        <v>3</v>
      </c>
      <c r="Q56" s="8" t="n">
        <v>1</v>
      </c>
      <c r="R56" s="8" t="n">
        <v>1</v>
      </c>
      <c r="S56" s="8" t="n">
        <v>23</v>
      </c>
    </row>
    <row r="57">
      <c r="A57" s="14" t="inlineStr">
        <is>
          <t>23611780214</t>
        </is>
      </c>
      <c r="B57" s="14" t="inlineStr">
        <is>
          <t>44</t>
        </is>
      </c>
      <c r="C57" s="26" t="inlineStr">
        <is>
          <t>KARPE PAYAL PRAVIN</t>
        </is>
      </c>
      <c r="E57" s="8" t="n">
        <v>2</v>
      </c>
      <c r="F57" s="8" t="n">
        <v>2</v>
      </c>
      <c r="G57" s="8" t="n">
        <v>0</v>
      </c>
      <c r="H57" s="8" t="n">
        <v>2</v>
      </c>
      <c r="I57" s="8" t="n">
        <v>0</v>
      </c>
      <c r="J57" s="8" t="n">
        <v>2</v>
      </c>
      <c r="K57" s="8" t="n">
        <v>2</v>
      </c>
      <c r="L57" s="8" t="n">
        <v>0</v>
      </c>
      <c r="M57" s="8" t="n">
        <v>4</v>
      </c>
      <c r="N57" s="8" t="n">
        <v>3</v>
      </c>
      <c r="O57" s="8" t="n">
        <v>0</v>
      </c>
      <c r="P57" s="8" t="n">
        <v>3</v>
      </c>
      <c r="Q57" s="8" t="n">
        <v>0</v>
      </c>
      <c r="R57" s="8" t="n">
        <v>0</v>
      </c>
      <c r="S57" s="8" t="n">
        <v>20</v>
      </c>
    </row>
    <row r="58">
      <c r="A58" s="14" t="inlineStr">
        <is>
          <t>23611780215</t>
        </is>
      </c>
      <c r="B58" s="14" t="inlineStr">
        <is>
          <t>45</t>
        </is>
      </c>
      <c r="C58" s="26" t="inlineStr">
        <is>
          <t>AHER ANIKET LAXMAN</t>
        </is>
      </c>
      <c r="E58" s="8" t="n">
        <v>2</v>
      </c>
      <c r="F58" s="8" t="n">
        <v>0</v>
      </c>
      <c r="G58" s="8" t="n">
        <v>2</v>
      </c>
      <c r="H58" s="8" t="n">
        <v>2</v>
      </c>
      <c r="I58" s="8" t="n">
        <v>2</v>
      </c>
      <c r="J58" s="8" t="n">
        <v>2</v>
      </c>
      <c r="K58" s="8" t="n">
        <v>0</v>
      </c>
      <c r="L58" s="8" t="n">
        <v>0</v>
      </c>
      <c r="M58" s="8" t="n">
        <v>0</v>
      </c>
      <c r="N58" s="8" t="n">
        <v>4</v>
      </c>
      <c r="O58" s="8" t="n">
        <v>0</v>
      </c>
      <c r="P58" s="8" t="n">
        <v>2</v>
      </c>
      <c r="Q58" s="8" t="n">
        <v>3</v>
      </c>
      <c r="R58" s="8" t="n">
        <v>4</v>
      </c>
      <c r="S58" s="8" t="n">
        <v>23</v>
      </c>
    </row>
    <row r="59">
      <c r="A59" s="14" t="inlineStr">
        <is>
          <t>23611780216</t>
        </is>
      </c>
      <c r="B59" s="14" t="inlineStr">
        <is>
          <t>46</t>
        </is>
      </c>
      <c r="C59" s="26" t="inlineStr">
        <is>
          <t>PATIL ATHARVA RAJENDRA</t>
        </is>
      </c>
      <c r="E59" s="8" t="n">
        <v>2</v>
      </c>
      <c r="F59" s="8" t="n">
        <v>0</v>
      </c>
      <c r="G59" s="8" t="n">
        <v>2</v>
      </c>
      <c r="H59" s="8" t="n">
        <v>2</v>
      </c>
      <c r="I59" s="8" t="n">
        <v>2</v>
      </c>
      <c r="J59" s="8" t="n">
        <v>2</v>
      </c>
      <c r="K59" s="8" t="n">
        <v>0</v>
      </c>
      <c r="L59" s="8" t="n">
        <v>4</v>
      </c>
      <c r="M59" s="8" t="n">
        <v>0</v>
      </c>
      <c r="N59" s="8" t="n">
        <v>0</v>
      </c>
      <c r="O59" s="8" t="n">
        <v>0</v>
      </c>
      <c r="P59" s="8" t="n">
        <v>0</v>
      </c>
      <c r="Q59" s="8" t="n">
        <v>0</v>
      </c>
      <c r="R59" s="8" t="n">
        <v>0</v>
      </c>
      <c r="S59" s="8" t="n">
        <v>14</v>
      </c>
    </row>
    <row r="60">
      <c r="A60" s="14" t="inlineStr">
        <is>
          <t>23611780217</t>
        </is>
      </c>
      <c r="B60" s="14" t="inlineStr">
        <is>
          <t>47</t>
        </is>
      </c>
      <c r="C60" s="26" t="inlineStr">
        <is>
          <t>RAUNDAL VRUSHABH UMESH</t>
        </is>
      </c>
      <c r="E60" s="8" t="n">
        <v>2</v>
      </c>
      <c r="F60" s="8" t="n">
        <v>0</v>
      </c>
      <c r="G60" s="8" t="n">
        <v>2</v>
      </c>
      <c r="H60" s="8" t="n">
        <v>2</v>
      </c>
      <c r="I60" s="8" t="n">
        <v>2</v>
      </c>
      <c r="J60" s="8" t="n">
        <v>2</v>
      </c>
      <c r="K60" s="8" t="n">
        <v>0</v>
      </c>
      <c r="L60" s="8" t="n">
        <v>3</v>
      </c>
      <c r="M60" s="8" t="n">
        <v>0</v>
      </c>
      <c r="N60" s="8" t="n">
        <v>0</v>
      </c>
      <c r="O60" s="8" t="n">
        <v>0</v>
      </c>
      <c r="P60" s="8" t="n">
        <v>0</v>
      </c>
      <c r="Q60" s="8" t="n">
        <v>0</v>
      </c>
      <c r="R60" s="8" t="n">
        <v>0</v>
      </c>
      <c r="S60" s="8" t="n">
        <v>13</v>
      </c>
    </row>
    <row r="61">
      <c r="A61" s="14" t="inlineStr">
        <is>
          <t>23611780218</t>
        </is>
      </c>
      <c r="B61" s="14" t="inlineStr">
        <is>
          <t>48</t>
        </is>
      </c>
      <c r="C61" s="26" t="inlineStr">
        <is>
          <t>PATIL GAYATRI NAMDEO</t>
        </is>
      </c>
      <c r="E61" s="8" t="n">
        <v>2</v>
      </c>
      <c r="F61" s="8" t="n">
        <v>0</v>
      </c>
      <c r="G61" s="8" t="n">
        <v>0</v>
      </c>
      <c r="H61" s="8" t="n">
        <v>0</v>
      </c>
      <c r="I61" s="8" t="n">
        <v>0</v>
      </c>
      <c r="J61" s="8" t="n">
        <v>0</v>
      </c>
      <c r="K61" s="8" t="n">
        <v>0</v>
      </c>
      <c r="L61" s="8" t="n">
        <v>0</v>
      </c>
      <c r="M61" s="8" t="n">
        <v>0</v>
      </c>
      <c r="N61" s="8" t="n">
        <v>0</v>
      </c>
      <c r="O61" s="8" t="n">
        <v>0</v>
      </c>
      <c r="P61" s="8" t="n">
        <v>0</v>
      </c>
      <c r="Q61" s="8" t="n">
        <v>0</v>
      </c>
      <c r="R61" s="8" t="n">
        <v>0</v>
      </c>
      <c r="S61" s="8" t="n">
        <v>2</v>
      </c>
    </row>
    <row r="62">
      <c r="A62" s="14" t="inlineStr">
        <is>
          <t>23611780219</t>
        </is>
      </c>
      <c r="B62" s="14" t="inlineStr">
        <is>
          <t>49</t>
        </is>
      </c>
      <c r="C62" s="26" t="inlineStr">
        <is>
          <t>SHELAR SWARUP SADASHIV</t>
        </is>
      </c>
      <c r="E62" s="8" t="n">
        <v>2</v>
      </c>
      <c r="F62" s="8" t="n">
        <v>2</v>
      </c>
      <c r="G62" s="8" t="n">
        <v>2</v>
      </c>
      <c r="H62" s="8" t="n">
        <v>2</v>
      </c>
      <c r="I62" s="8" t="n">
        <v>2</v>
      </c>
      <c r="J62" s="8" t="n">
        <v>0</v>
      </c>
      <c r="K62" s="8" t="n">
        <v>0</v>
      </c>
      <c r="L62" s="8" t="n">
        <v>4</v>
      </c>
      <c r="M62" s="8" t="n">
        <v>4</v>
      </c>
      <c r="N62" s="8" t="n">
        <v>0</v>
      </c>
      <c r="O62" s="8" t="n">
        <v>4</v>
      </c>
      <c r="P62" s="8" t="n">
        <v>4</v>
      </c>
      <c r="Q62" s="8" t="n">
        <v>4</v>
      </c>
      <c r="R62" s="8" t="n">
        <v>0</v>
      </c>
      <c r="S62" s="8" t="n">
        <v>30</v>
      </c>
    </row>
    <row r="63">
      <c r="A63" s="14" t="inlineStr">
        <is>
          <t>23611780220</t>
        </is>
      </c>
      <c r="B63" s="14" t="inlineStr">
        <is>
          <t>50</t>
        </is>
      </c>
      <c r="C63" s="26" t="inlineStr">
        <is>
          <t>BHAGWAT SANCHIT VIJAY</t>
        </is>
      </c>
      <c r="E63" s="8" t="n">
        <v>2</v>
      </c>
      <c r="F63" s="8" t="n">
        <v>0</v>
      </c>
      <c r="G63" s="8" t="n">
        <v>2</v>
      </c>
      <c r="H63" s="8" t="n">
        <v>2</v>
      </c>
      <c r="I63" s="8" t="n">
        <v>2</v>
      </c>
      <c r="J63" s="8" t="n">
        <v>2</v>
      </c>
      <c r="K63" s="8" t="n">
        <v>0</v>
      </c>
      <c r="L63" s="8" t="n">
        <v>4</v>
      </c>
      <c r="M63" s="8" t="n">
        <v>0</v>
      </c>
      <c r="N63" s="8" t="n">
        <v>0</v>
      </c>
      <c r="O63" s="8" t="n">
        <v>0</v>
      </c>
      <c r="P63" s="8" t="n">
        <v>3</v>
      </c>
      <c r="Q63" s="8" t="n">
        <v>4</v>
      </c>
      <c r="R63" s="8" t="n">
        <v>2</v>
      </c>
      <c r="S63" s="8" t="n">
        <v>23</v>
      </c>
    </row>
    <row r="64">
      <c r="A64" s="14" t="inlineStr">
        <is>
          <t>23611780221</t>
        </is>
      </c>
      <c r="B64" s="14" t="inlineStr">
        <is>
          <t>51</t>
        </is>
      </c>
      <c r="C64" s="26" t="inlineStr">
        <is>
          <t>MALI ARYAN MANOJ</t>
        </is>
      </c>
      <c r="E64" s="8" t="n">
        <v>2</v>
      </c>
      <c r="F64" s="8" t="n">
        <v>0</v>
      </c>
      <c r="G64" s="8" t="n">
        <v>2</v>
      </c>
      <c r="H64" s="8" t="n">
        <v>2</v>
      </c>
      <c r="I64" s="8" t="n">
        <v>2</v>
      </c>
      <c r="J64" s="8" t="n">
        <v>2</v>
      </c>
      <c r="K64" s="8" t="n">
        <v>0</v>
      </c>
      <c r="L64" s="8" t="n">
        <v>4</v>
      </c>
      <c r="M64" s="8" t="n">
        <v>0</v>
      </c>
      <c r="N64" s="8" t="n">
        <v>0</v>
      </c>
      <c r="O64" s="8" t="n">
        <v>0</v>
      </c>
      <c r="P64" s="8" t="n">
        <v>4</v>
      </c>
      <c r="Q64" s="8" t="n">
        <v>4</v>
      </c>
      <c r="R64" s="8" t="n">
        <v>3</v>
      </c>
      <c r="S64" s="8" t="n">
        <v>25</v>
      </c>
    </row>
    <row r="65">
      <c r="A65" s="14" t="inlineStr">
        <is>
          <t>23611780222</t>
        </is>
      </c>
      <c r="B65" s="14" t="inlineStr">
        <is>
          <t>52</t>
        </is>
      </c>
      <c r="C65" s="26" t="inlineStr">
        <is>
          <t>PATIL SAKSHI PRAMOD</t>
        </is>
      </c>
      <c r="E65" s="8" t="n">
        <v>2</v>
      </c>
      <c r="F65" s="8" t="n">
        <v>2</v>
      </c>
      <c r="G65" s="8" t="n">
        <v>2</v>
      </c>
      <c r="H65" s="8" t="n">
        <v>2</v>
      </c>
      <c r="I65" s="8" t="n">
        <v>0</v>
      </c>
      <c r="J65" s="8" t="n">
        <v>2</v>
      </c>
      <c r="K65" s="8" t="n">
        <v>0</v>
      </c>
      <c r="L65" s="8" t="n">
        <v>4</v>
      </c>
      <c r="M65" s="8" t="n">
        <v>4</v>
      </c>
      <c r="N65" s="8" t="n">
        <v>0</v>
      </c>
      <c r="O65" s="8" t="n">
        <v>0</v>
      </c>
      <c r="P65" s="8" t="n">
        <v>4</v>
      </c>
      <c r="Q65" s="8" t="n">
        <v>4</v>
      </c>
      <c r="R65" s="8" t="n">
        <v>4</v>
      </c>
      <c r="S65" s="8" t="n">
        <v>30</v>
      </c>
    </row>
    <row r="66">
      <c r="A66" s="14" t="inlineStr">
        <is>
          <t>23611780223</t>
        </is>
      </c>
      <c r="B66" s="14" t="inlineStr">
        <is>
          <t>53</t>
        </is>
      </c>
      <c r="C66" s="26" t="inlineStr">
        <is>
          <t>WAGH ARYAN DINESH</t>
        </is>
      </c>
      <c r="E66" s="8" t="n">
        <v>2</v>
      </c>
      <c r="F66" s="8" t="n">
        <v>2</v>
      </c>
      <c r="G66" s="8" t="n">
        <v>0</v>
      </c>
      <c r="H66" s="8" t="n">
        <v>2</v>
      </c>
      <c r="I66" s="8" t="n">
        <v>0</v>
      </c>
      <c r="J66" s="8" t="n">
        <v>2</v>
      </c>
      <c r="K66" s="8" t="n">
        <v>2</v>
      </c>
      <c r="L66" s="8" t="n">
        <v>4</v>
      </c>
      <c r="M66" s="8" t="n">
        <v>4</v>
      </c>
      <c r="N66" s="8" t="n">
        <v>0</v>
      </c>
      <c r="O66" s="8" t="n">
        <v>0</v>
      </c>
      <c r="P66" s="8" t="n">
        <v>3</v>
      </c>
      <c r="Q66" s="8" t="n">
        <v>0</v>
      </c>
      <c r="R66" s="8" t="n">
        <v>4</v>
      </c>
      <c r="S66" s="8" t="n">
        <v>25</v>
      </c>
    </row>
    <row r="67">
      <c r="A67" s="14" t="inlineStr">
        <is>
          <t>23611780224</t>
        </is>
      </c>
      <c r="B67" s="14" t="inlineStr">
        <is>
          <t>54</t>
        </is>
      </c>
      <c r="C67" s="26" t="inlineStr">
        <is>
          <t>MISHRA PUSHKAR</t>
        </is>
      </c>
      <c r="E67" s="8" t="n">
        <v>2</v>
      </c>
      <c r="F67" s="8" t="n">
        <v>1</v>
      </c>
      <c r="G67" s="8" t="n">
        <v>1</v>
      </c>
      <c r="H67" s="8" t="n">
        <v>0</v>
      </c>
      <c r="I67" s="8" t="n">
        <v>0</v>
      </c>
      <c r="J67" s="8" t="n">
        <v>2</v>
      </c>
      <c r="K67" s="8" t="n">
        <v>2</v>
      </c>
      <c r="L67" s="8" t="n">
        <v>0</v>
      </c>
      <c r="M67" s="8" t="n">
        <v>4</v>
      </c>
      <c r="N67" s="8" t="n">
        <v>4</v>
      </c>
      <c r="O67" s="8" t="n">
        <v>0</v>
      </c>
      <c r="P67" s="8" t="n">
        <v>4</v>
      </c>
      <c r="Q67" s="8" t="n">
        <v>0</v>
      </c>
      <c r="R67" s="8" t="n">
        <v>0</v>
      </c>
      <c r="S67" s="8" t="n">
        <v>20</v>
      </c>
    </row>
    <row r="68">
      <c r="A68" s="14" t="inlineStr">
        <is>
          <t>23611780225</t>
        </is>
      </c>
      <c r="B68" s="14" t="inlineStr">
        <is>
          <t>55</t>
        </is>
      </c>
      <c r="C68" s="26" t="inlineStr">
        <is>
          <t>BIDVE MOHIT SUBODH</t>
        </is>
      </c>
      <c r="E68" s="8" t="n">
        <v>2</v>
      </c>
      <c r="F68" s="8" t="n">
        <v>2</v>
      </c>
      <c r="G68" s="8" t="n">
        <v>0</v>
      </c>
      <c r="H68" s="8" t="n">
        <v>2</v>
      </c>
      <c r="I68" s="8" t="n">
        <v>0</v>
      </c>
      <c r="J68" s="8" t="n">
        <v>0</v>
      </c>
      <c r="K68" s="8" t="n">
        <v>0</v>
      </c>
      <c r="L68" s="8" t="n">
        <v>3</v>
      </c>
      <c r="M68" s="8" t="n">
        <v>0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0</v>
      </c>
      <c r="S68" s="8" t="n">
        <v>9</v>
      </c>
    </row>
    <row r="69">
      <c r="A69" s="14" t="inlineStr">
        <is>
          <t>23611780227</t>
        </is>
      </c>
      <c r="B69" s="14" t="inlineStr">
        <is>
          <t>56</t>
        </is>
      </c>
      <c r="C69" s="26" t="inlineStr">
        <is>
          <t>PANDIT JAYTESH J.</t>
        </is>
      </c>
      <c r="E69" s="8" t="n">
        <v>2</v>
      </c>
      <c r="F69" s="8" t="n">
        <v>0</v>
      </c>
      <c r="G69" s="8" t="n">
        <v>2</v>
      </c>
      <c r="H69" s="8" t="n">
        <v>2</v>
      </c>
      <c r="I69" s="8" t="n">
        <v>0</v>
      </c>
      <c r="J69" s="8" t="n">
        <v>0</v>
      </c>
      <c r="K69" s="8" t="n">
        <v>0</v>
      </c>
      <c r="L69" s="8" t="n">
        <v>4</v>
      </c>
      <c r="M69" s="8" t="n">
        <v>0</v>
      </c>
      <c r="N69" s="8" t="n">
        <v>0</v>
      </c>
      <c r="O69" s="8" t="n">
        <v>0</v>
      </c>
      <c r="P69" s="8" t="n">
        <v>0</v>
      </c>
      <c r="Q69" s="8" t="n">
        <v>0</v>
      </c>
      <c r="R69" s="8" t="n">
        <v>0</v>
      </c>
      <c r="S69" s="8" t="n">
        <v>10</v>
      </c>
    </row>
    <row r="70">
      <c r="A70" s="14" t="inlineStr">
        <is>
          <t>23611780228</t>
        </is>
      </c>
      <c r="B70" s="14" t="inlineStr">
        <is>
          <t>57</t>
        </is>
      </c>
      <c r="C70" s="26" t="inlineStr">
        <is>
          <t>PATEL MAHI URVISH</t>
        </is>
      </c>
      <c r="E70" s="8" t="n">
        <v>2</v>
      </c>
      <c r="F70" s="8" t="n">
        <v>2</v>
      </c>
      <c r="G70" s="8" t="n">
        <v>2</v>
      </c>
      <c r="H70" s="8" t="n">
        <v>2</v>
      </c>
      <c r="I70" s="8" t="n">
        <v>2</v>
      </c>
      <c r="J70" s="8" t="n">
        <v>0</v>
      </c>
      <c r="K70" s="8" t="n">
        <v>0</v>
      </c>
      <c r="L70" s="8" t="n">
        <v>4</v>
      </c>
      <c r="M70" s="8" t="n">
        <v>4</v>
      </c>
      <c r="N70" s="8" t="n">
        <v>0</v>
      </c>
      <c r="O70" s="8" t="n">
        <v>0</v>
      </c>
      <c r="P70" s="8" t="n">
        <v>4</v>
      </c>
      <c r="Q70" s="8" t="n">
        <v>4</v>
      </c>
      <c r="R70" s="8" t="n">
        <v>4</v>
      </c>
      <c r="S70" s="8" t="n">
        <v>30</v>
      </c>
    </row>
    <row r="71">
      <c r="A71" s="14" t="inlineStr">
        <is>
          <t>23611780230</t>
        </is>
      </c>
      <c r="B71" s="14" t="inlineStr">
        <is>
          <t>58</t>
        </is>
      </c>
      <c r="C71" s="26" t="inlineStr">
        <is>
          <t>PATIL VRUSHALI VINOD</t>
        </is>
      </c>
      <c r="E71" s="8" t="n">
        <v>2</v>
      </c>
      <c r="F71" s="8" t="n">
        <v>0</v>
      </c>
      <c r="G71" s="8" t="n">
        <v>2</v>
      </c>
      <c r="H71" s="8" t="n">
        <v>0</v>
      </c>
      <c r="I71" s="8" t="n">
        <v>2</v>
      </c>
      <c r="J71" s="8" t="n">
        <v>2</v>
      </c>
      <c r="K71" s="8" t="n">
        <v>0</v>
      </c>
      <c r="L71" s="8" t="n">
        <v>4</v>
      </c>
      <c r="M71" s="8" t="n">
        <v>0</v>
      </c>
      <c r="N71" s="8" t="n">
        <v>0</v>
      </c>
      <c r="O71" s="8" t="n">
        <v>0</v>
      </c>
      <c r="P71" s="8" t="n">
        <v>0</v>
      </c>
      <c r="Q71" s="8" t="n">
        <v>0</v>
      </c>
      <c r="R71" s="8" t="n">
        <v>3</v>
      </c>
      <c r="S71" s="8" t="n">
        <v>15</v>
      </c>
    </row>
    <row r="72">
      <c r="A72" s="14" t="inlineStr">
        <is>
          <t>23611780231</t>
        </is>
      </c>
      <c r="B72" s="14" t="inlineStr">
        <is>
          <t>59</t>
        </is>
      </c>
      <c r="C72" s="26" t="inlineStr">
        <is>
          <t>SONAWANE SOHAM SOPAN</t>
        </is>
      </c>
      <c r="E72" s="8" t="n">
        <v>2</v>
      </c>
      <c r="F72" s="8" t="n">
        <v>0</v>
      </c>
      <c r="G72" s="8" t="n">
        <v>2</v>
      </c>
      <c r="H72" s="8" t="n">
        <v>2</v>
      </c>
      <c r="I72" s="8" t="n">
        <v>2</v>
      </c>
      <c r="J72" s="8" t="n">
        <v>2</v>
      </c>
      <c r="K72" s="8" t="n">
        <v>0</v>
      </c>
      <c r="L72" s="8" t="n">
        <v>4</v>
      </c>
      <c r="M72" s="8" t="n">
        <v>3</v>
      </c>
      <c r="N72" s="8" t="n">
        <v>2</v>
      </c>
      <c r="O72" s="8" t="n">
        <v>0</v>
      </c>
      <c r="P72" s="8" t="n">
        <v>0</v>
      </c>
      <c r="Q72" s="8" t="n">
        <v>4</v>
      </c>
      <c r="R72" s="8" t="n">
        <v>4</v>
      </c>
      <c r="S72" s="8" t="n">
        <v>27</v>
      </c>
    </row>
    <row r="73">
      <c r="A73" s="14" t="inlineStr">
        <is>
          <t>23611780232</t>
        </is>
      </c>
      <c r="B73" s="14" t="inlineStr">
        <is>
          <t>60</t>
        </is>
      </c>
      <c r="C73" s="26" t="inlineStr">
        <is>
          <t>DESALE GAURI RAOSAHEB</t>
        </is>
      </c>
      <c r="E73" s="8" t="n">
        <v>2</v>
      </c>
      <c r="F73" s="8" t="n">
        <v>0</v>
      </c>
      <c r="G73" s="8" t="n">
        <v>2</v>
      </c>
      <c r="H73" s="8" t="n">
        <v>2</v>
      </c>
      <c r="I73" s="8" t="n">
        <v>2</v>
      </c>
      <c r="J73" s="8" t="n">
        <v>2</v>
      </c>
      <c r="K73" s="8" t="n">
        <v>0</v>
      </c>
      <c r="L73" s="8" t="n">
        <v>4</v>
      </c>
      <c r="M73" s="8" t="n">
        <v>4</v>
      </c>
      <c r="N73" s="8" t="n">
        <v>0</v>
      </c>
      <c r="O73" s="8" t="n">
        <v>4</v>
      </c>
      <c r="P73" s="8" t="n">
        <v>0</v>
      </c>
      <c r="Q73" s="8" t="n">
        <v>4</v>
      </c>
      <c r="R73" s="8" t="n">
        <v>2</v>
      </c>
      <c r="S73" s="8" t="n">
        <v>28</v>
      </c>
    </row>
    <row r="74">
      <c r="A74" s="14" t="inlineStr">
        <is>
          <t>23611780233</t>
        </is>
      </c>
      <c r="B74" s="14" t="inlineStr">
        <is>
          <t>61</t>
        </is>
      </c>
      <c r="C74" s="26" t="inlineStr">
        <is>
          <t>BARHATE PRANJAL MADHAV</t>
        </is>
      </c>
      <c r="E74" s="8" t="n">
        <v>2</v>
      </c>
      <c r="F74" s="8" t="n">
        <v>0</v>
      </c>
      <c r="G74" s="8" t="n">
        <v>2</v>
      </c>
      <c r="H74" s="8" t="n">
        <v>2</v>
      </c>
      <c r="I74" s="8" t="n">
        <v>0</v>
      </c>
      <c r="J74" s="8" t="n">
        <v>2</v>
      </c>
      <c r="K74" s="8" t="n">
        <v>2</v>
      </c>
      <c r="L74" s="8" t="n">
        <v>4</v>
      </c>
      <c r="M74" s="8" t="n">
        <v>0</v>
      </c>
      <c r="N74" s="8" t="n">
        <v>0</v>
      </c>
      <c r="O74" s="8" t="n">
        <v>0</v>
      </c>
      <c r="P74" s="8" t="n">
        <v>0</v>
      </c>
      <c r="Q74" s="8" t="n">
        <v>0</v>
      </c>
      <c r="R74" s="8" t="n">
        <v>0</v>
      </c>
      <c r="S74" s="8" t="n">
        <v>14</v>
      </c>
    </row>
    <row r="75">
      <c r="A75" s="14" t="inlineStr">
        <is>
          <t>23611780234</t>
        </is>
      </c>
      <c r="B75" s="14" t="inlineStr">
        <is>
          <t>62</t>
        </is>
      </c>
      <c r="C75" s="26" t="inlineStr">
        <is>
          <t>KANADE SARTHAK SUSHIL</t>
        </is>
      </c>
      <c r="E75" s="8" t="n">
        <v>2</v>
      </c>
      <c r="F75" s="8" t="n">
        <v>2</v>
      </c>
      <c r="G75" s="8" t="n">
        <v>2</v>
      </c>
      <c r="H75" s="8" t="n">
        <v>2</v>
      </c>
      <c r="I75" s="8" t="n">
        <v>0</v>
      </c>
      <c r="J75" s="8" t="n">
        <v>2</v>
      </c>
      <c r="K75" s="8" t="n">
        <v>0</v>
      </c>
      <c r="L75" s="8" t="n">
        <v>4</v>
      </c>
      <c r="M75" s="8" t="n">
        <v>4</v>
      </c>
      <c r="N75" s="8" t="n">
        <v>4</v>
      </c>
      <c r="O75" s="8" t="n">
        <v>0</v>
      </c>
      <c r="P75" s="8" t="n">
        <v>0</v>
      </c>
      <c r="Q75" s="8" t="n">
        <v>4</v>
      </c>
      <c r="R75" s="8" t="n">
        <v>4</v>
      </c>
      <c r="S75" s="8" t="n">
        <v>30</v>
      </c>
    </row>
    <row r="76">
      <c r="A76" s="14" t="inlineStr">
        <is>
          <t>23611780235</t>
        </is>
      </c>
      <c r="B76" s="14" t="inlineStr">
        <is>
          <t>63</t>
        </is>
      </c>
      <c r="C76" s="26" t="inlineStr">
        <is>
          <t>NIGAL KHUSHI DNYANESHWAR</t>
        </is>
      </c>
      <c r="E76" s="8" t="n">
        <v>2</v>
      </c>
      <c r="F76" s="8" t="n">
        <v>2</v>
      </c>
      <c r="G76" s="8" t="n">
        <v>2</v>
      </c>
      <c r="H76" s="8" t="n">
        <v>2</v>
      </c>
      <c r="I76" s="8" t="n">
        <v>2</v>
      </c>
      <c r="J76" s="8" t="n">
        <v>0</v>
      </c>
      <c r="K76" s="8" t="n">
        <v>0</v>
      </c>
      <c r="L76" s="8" t="n">
        <v>4</v>
      </c>
      <c r="M76" s="8" t="n">
        <v>4</v>
      </c>
      <c r="N76" s="8" t="n">
        <v>4</v>
      </c>
      <c r="O76" s="8" t="n">
        <v>4</v>
      </c>
      <c r="P76" s="8" t="n">
        <v>4</v>
      </c>
      <c r="Q76" s="8" t="n">
        <v>0</v>
      </c>
      <c r="R76" s="8" t="n">
        <v>0</v>
      </c>
      <c r="S76" s="8" t="n">
        <v>30</v>
      </c>
    </row>
    <row r="77">
      <c r="A77" s="14" t="inlineStr">
        <is>
          <t>23611780236</t>
        </is>
      </c>
      <c r="B77" s="14" t="inlineStr">
        <is>
          <t>64</t>
        </is>
      </c>
      <c r="C77" s="26" t="inlineStr">
        <is>
          <t>GALANKAR ARPITA SANJAY</t>
        </is>
      </c>
      <c r="E77" s="8" t="n">
        <v>2</v>
      </c>
      <c r="F77" s="8" t="n">
        <v>2</v>
      </c>
      <c r="G77" s="8" t="n">
        <v>2</v>
      </c>
      <c r="H77" s="8" t="n">
        <v>2</v>
      </c>
      <c r="I77" s="8" t="n">
        <v>2</v>
      </c>
      <c r="J77" s="8" t="n">
        <v>0</v>
      </c>
      <c r="K77" s="8" t="n">
        <v>0</v>
      </c>
      <c r="L77" s="8" t="n">
        <v>4</v>
      </c>
      <c r="M77" s="8" t="n">
        <v>4</v>
      </c>
      <c r="N77" s="8" t="n">
        <v>4</v>
      </c>
      <c r="O77" s="8" t="n">
        <v>4</v>
      </c>
      <c r="P77" s="8" t="n">
        <v>4</v>
      </c>
      <c r="Q77" s="8" t="n">
        <v>0</v>
      </c>
      <c r="R77" s="8" t="n">
        <v>0</v>
      </c>
      <c r="S77" s="8" t="n">
        <v>30</v>
      </c>
    </row>
    <row r="78">
      <c r="A78" s="14" t="inlineStr">
        <is>
          <t>23611780237</t>
        </is>
      </c>
      <c r="B78" s="14" t="inlineStr">
        <is>
          <t>65</t>
        </is>
      </c>
      <c r="C78" s="26" t="inlineStr">
        <is>
          <t>DEORE GAYATRI RAMDAS</t>
        </is>
      </c>
      <c r="E78" s="8" t="n">
        <v>2</v>
      </c>
      <c r="F78" s="8" t="n">
        <v>2</v>
      </c>
      <c r="G78" s="8" t="n">
        <v>2</v>
      </c>
      <c r="H78" s="8" t="n">
        <v>2</v>
      </c>
      <c r="I78" s="8" t="n">
        <v>2</v>
      </c>
      <c r="J78" s="8" t="n">
        <v>0</v>
      </c>
      <c r="K78" s="8" t="n">
        <v>0</v>
      </c>
      <c r="L78" s="8" t="n">
        <v>4</v>
      </c>
      <c r="M78" s="8" t="n">
        <v>0</v>
      </c>
      <c r="N78" s="8" t="n">
        <v>4</v>
      </c>
      <c r="O78" s="8" t="n">
        <v>4</v>
      </c>
      <c r="P78" s="8" t="n">
        <v>0</v>
      </c>
      <c r="Q78" s="8" t="n">
        <v>4</v>
      </c>
      <c r="R78" s="8" t="n">
        <v>4</v>
      </c>
      <c r="S78" s="8" t="n">
        <v>30</v>
      </c>
    </row>
    <row r="79">
      <c r="A79" s="14" t="inlineStr">
        <is>
          <t>24611780001</t>
        </is>
      </c>
      <c r="B79" s="14" t="inlineStr">
        <is>
          <t>66</t>
        </is>
      </c>
      <c r="C79" s="26" t="inlineStr">
        <is>
          <t>THAKARE KOMAL ATAMARAM</t>
        </is>
      </c>
      <c r="E79" s="8" t="n">
        <v>2</v>
      </c>
      <c r="F79" s="8" t="n">
        <v>0</v>
      </c>
      <c r="G79" s="8" t="n">
        <v>0</v>
      </c>
      <c r="H79" s="8" t="n">
        <v>0</v>
      </c>
      <c r="I79" s="8" t="n">
        <v>0</v>
      </c>
      <c r="J79" s="8" t="n">
        <v>0</v>
      </c>
      <c r="K79" s="8" t="n">
        <v>0</v>
      </c>
      <c r="L79" s="8" t="n">
        <v>0</v>
      </c>
      <c r="M79" s="8" t="n">
        <v>4</v>
      </c>
      <c r="N79" s="8" t="n">
        <v>4</v>
      </c>
      <c r="O79" s="8" t="n">
        <v>0</v>
      </c>
      <c r="P79" s="8" t="n">
        <v>0</v>
      </c>
      <c r="Q79" s="8" t="n">
        <v>0</v>
      </c>
      <c r="R79" s="8" t="n">
        <v>0</v>
      </c>
      <c r="S79" s="8" t="n">
        <v>10</v>
      </c>
    </row>
    <row r="80">
      <c r="A80" s="14" t="inlineStr">
        <is>
          <t>24611780002</t>
        </is>
      </c>
      <c r="B80" s="14" t="inlineStr">
        <is>
          <t>67</t>
        </is>
      </c>
      <c r="C80" s="26" t="inlineStr">
        <is>
          <t>KHARE ASHLESHA YOGESH</t>
        </is>
      </c>
      <c r="E80" s="8" t="n">
        <v>2</v>
      </c>
      <c r="F80" s="8" t="n">
        <v>2</v>
      </c>
      <c r="G80" s="8" t="n">
        <v>2</v>
      </c>
      <c r="H80" s="8" t="n">
        <v>2</v>
      </c>
      <c r="I80" s="8" t="n">
        <v>2</v>
      </c>
      <c r="J80" s="8" t="n">
        <v>0</v>
      </c>
      <c r="K80" s="8" t="n">
        <v>0</v>
      </c>
      <c r="L80" s="8" t="n">
        <v>0</v>
      </c>
      <c r="M80" s="8" t="n">
        <v>4</v>
      </c>
      <c r="N80" s="8" t="n">
        <v>4</v>
      </c>
      <c r="O80" s="8" t="n">
        <v>2</v>
      </c>
      <c r="P80" s="8" t="n">
        <v>0</v>
      </c>
      <c r="Q80" s="8" t="n">
        <v>0</v>
      </c>
      <c r="R80" s="8" t="n">
        <v>0</v>
      </c>
      <c r="S80" s="8" t="n">
        <v>20</v>
      </c>
    </row>
    <row r="81">
      <c r="A81" s="14" t="inlineStr">
        <is>
          <t>24611780003</t>
        </is>
      </c>
      <c r="B81" s="14" t="inlineStr">
        <is>
          <t>68</t>
        </is>
      </c>
      <c r="C81" s="26" t="inlineStr">
        <is>
          <t>DAWARE SAKSHI HARISHCHANDRA</t>
        </is>
      </c>
      <c r="E81" s="8" t="n">
        <v>2</v>
      </c>
      <c r="F81" s="8" t="n">
        <v>0</v>
      </c>
      <c r="G81" s="8" t="n">
        <v>2</v>
      </c>
      <c r="H81" s="8" t="n">
        <v>2</v>
      </c>
      <c r="I81" s="8" t="n">
        <v>0</v>
      </c>
      <c r="J81" s="8" t="n">
        <v>1</v>
      </c>
      <c r="K81" s="8" t="n">
        <v>2</v>
      </c>
      <c r="L81" s="8" t="n">
        <v>0</v>
      </c>
      <c r="M81" s="8" t="n">
        <v>0</v>
      </c>
      <c r="N81" s="8" t="n">
        <v>4</v>
      </c>
      <c r="O81" s="8" t="n">
        <v>2</v>
      </c>
      <c r="P81" s="8" t="n">
        <v>3</v>
      </c>
      <c r="Q81" s="8" t="n">
        <v>0</v>
      </c>
      <c r="R81" s="8" t="n">
        <v>0</v>
      </c>
      <c r="S81" s="8" t="n">
        <v>18</v>
      </c>
    </row>
    <row r="82">
      <c r="A82" s="14" t="inlineStr">
        <is>
          <t>24611780004</t>
        </is>
      </c>
      <c r="B82" s="14" t="inlineStr">
        <is>
          <t>69</t>
        </is>
      </c>
      <c r="C82" s="26" t="inlineStr">
        <is>
          <t>JADHAV YASHSWINI RAJENDRA</t>
        </is>
      </c>
      <c r="E82" s="8" t="n">
        <v>2</v>
      </c>
      <c r="F82" s="8" t="n">
        <v>2</v>
      </c>
      <c r="G82" s="8" t="n">
        <v>2</v>
      </c>
      <c r="H82" s="8" t="n">
        <v>2</v>
      </c>
      <c r="I82" s="8" t="n">
        <v>0</v>
      </c>
      <c r="J82" s="8" t="n">
        <v>2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4</v>
      </c>
      <c r="Q82" s="8" t="n">
        <v>0</v>
      </c>
      <c r="R82" s="8" t="n">
        <v>0</v>
      </c>
      <c r="S82" s="8" t="n">
        <v>14</v>
      </c>
    </row>
    <row r="83">
      <c r="A83" s="14" t="inlineStr">
        <is>
          <t>24611780005</t>
        </is>
      </c>
      <c r="B83" s="14" t="inlineStr">
        <is>
          <t>70</t>
        </is>
      </c>
      <c r="C83" s="26" t="inlineStr">
        <is>
          <t>SONAWANE ANUSHKA PANDIT</t>
        </is>
      </c>
      <c r="E83" s="8" t="n">
        <v>2</v>
      </c>
      <c r="F83" s="8" t="n">
        <v>2</v>
      </c>
      <c r="G83" s="8" t="n">
        <v>0</v>
      </c>
      <c r="H83" s="8" t="n">
        <v>0</v>
      </c>
      <c r="I83" s="8" t="n">
        <v>0</v>
      </c>
      <c r="J83" s="8" t="n">
        <v>2</v>
      </c>
      <c r="K83" s="8" t="n">
        <v>2</v>
      </c>
      <c r="L83" s="8" t="n">
        <v>2</v>
      </c>
      <c r="M83" s="8" t="n">
        <v>0</v>
      </c>
      <c r="N83" s="8" t="n">
        <v>0</v>
      </c>
      <c r="O83" s="8" t="n">
        <v>0</v>
      </c>
      <c r="P83" s="8" t="n">
        <v>0</v>
      </c>
      <c r="Q83" s="8" t="n">
        <v>0</v>
      </c>
      <c r="R83" s="8" t="n">
        <v>0</v>
      </c>
      <c r="S83" s="8" t="n">
        <v>10</v>
      </c>
    </row>
    <row r="84">
      <c r="A84" s="14" t="inlineStr">
        <is>
          <t>24611780006</t>
        </is>
      </c>
      <c r="B84" s="14" t="inlineStr">
        <is>
          <t>71</t>
        </is>
      </c>
      <c r="C84" s="26" t="inlineStr">
        <is>
          <t>WARKE SAHIL GUNWANT</t>
        </is>
      </c>
      <c r="E84" s="8" t="n">
        <v>0</v>
      </c>
      <c r="F84" s="8" t="n">
        <v>0</v>
      </c>
      <c r="G84" s="8" t="n">
        <v>0</v>
      </c>
      <c r="H84" s="8" t="n">
        <v>1</v>
      </c>
      <c r="I84" s="8" t="n">
        <v>1</v>
      </c>
      <c r="J84" s="8" t="n">
        <v>0</v>
      </c>
      <c r="K84" s="8" t="n">
        <v>0</v>
      </c>
      <c r="L84" s="8" t="n">
        <v>0</v>
      </c>
      <c r="M84" s="8" t="n">
        <v>0</v>
      </c>
      <c r="N84" s="8" t="n">
        <v>0</v>
      </c>
      <c r="O84" s="8" t="n">
        <v>0</v>
      </c>
      <c r="P84" s="8" t="n">
        <v>0</v>
      </c>
      <c r="Q84" s="8" t="n">
        <v>0</v>
      </c>
      <c r="R84" s="8" t="n">
        <v>0</v>
      </c>
      <c r="S84" s="8" t="n">
        <v>2</v>
      </c>
    </row>
    <row r="85">
      <c r="A85" s="14" t="inlineStr">
        <is>
          <t>24611780007</t>
        </is>
      </c>
      <c r="B85" s="14" t="inlineStr">
        <is>
          <t>72</t>
        </is>
      </c>
      <c r="C85" s="26" t="inlineStr">
        <is>
          <t>PAGAR DNYANESHWARI PADMAKAR</t>
        </is>
      </c>
      <c r="E85" s="8" t="n">
        <v>0</v>
      </c>
      <c r="F85" s="8" t="n">
        <v>2</v>
      </c>
      <c r="G85" s="8" t="n">
        <v>2</v>
      </c>
      <c r="H85" s="8" t="n">
        <v>2</v>
      </c>
      <c r="I85" s="8" t="n">
        <v>2</v>
      </c>
      <c r="J85" s="8" t="n">
        <v>2</v>
      </c>
      <c r="K85" s="8" t="n">
        <v>0</v>
      </c>
      <c r="L85" s="8" t="n">
        <v>0</v>
      </c>
      <c r="M85" s="8" t="n">
        <v>0</v>
      </c>
      <c r="N85" s="8" t="n">
        <v>4</v>
      </c>
      <c r="O85" s="8" t="n">
        <v>1</v>
      </c>
      <c r="P85" s="8" t="n">
        <v>0</v>
      </c>
      <c r="Q85" s="8" t="n">
        <v>0</v>
      </c>
      <c r="R85" s="8" t="n">
        <v>0</v>
      </c>
      <c r="S85" s="8" t="n">
        <v>15</v>
      </c>
    </row>
    <row r="86">
      <c r="A86" s="27" t="inlineStr">
        <is>
          <t>Average</t>
        </is>
      </c>
      <c r="E86" s="8">
        <f>IFERROR(ROUND(AVERAGE(E14:E85), 2), 0)</f>
        <v/>
      </c>
      <c r="F86" s="8">
        <f>IFERROR(ROUND(AVERAGE(F14:F85), 2), 0)</f>
        <v/>
      </c>
      <c r="G86" s="8">
        <f>IFERROR(ROUND(AVERAGE(G14:G85), 2), 0)</f>
        <v/>
      </c>
      <c r="H86" s="8">
        <f>IFERROR(ROUND(AVERAGE(H14:H85), 2), 0)</f>
        <v/>
      </c>
      <c r="I86" s="8">
        <f>IFERROR(ROUND(AVERAGE(I14:I85), 2), 0)</f>
        <v/>
      </c>
      <c r="J86" s="8">
        <f>IFERROR(ROUND(AVERAGE(J14:J85), 2), 0)</f>
        <v/>
      </c>
      <c r="K86" s="8">
        <f>IFERROR(ROUND(AVERAGE(K14:K85), 2), 0)</f>
        <v/>
      </c>
      <c r="L86" s="8">
        <f>IFERROR(ROUND(AVERAGE(L14:L85), 2), 0)</f>
        <v/>
      </c>
      <c r="M86" s="8">
        <f>IFERROR(ROUND(AVERAGE(M14:M85), 2), 0)</f>
        <v/>
      </c>
      <c r="N86" s="8">
        <f>IFERROR(ROUND(AVERAGE(N14:N85), 2), 0)</f>
        <v/>
      </c>
      <c r="O86" s="8">
        <f>IFERROR(ROUND(AVERAGE(O14:O85), 2), 0)</f>
        <v/>
      </c>
      <c r="P86" s="8">
        <f>IFERROR(ROUND(AVERAGE(P14:P85), 2), 0)</f>
        <v/>
      </c>
      <c r="Q86" s="8">
        <f>IFERROR(ROUND(AVERAGE(Q14:Q85), 2), 0)</f>
        <v/>
      </c>
      <c r="R86" s="8">
        <f>IFERROR(ROUND(AVERAGE(R14:R85), 2), 0)</f>
        <v/>
      </c>
      <c r="S86" s="28">
        <f>IFERROR(ROUND(AVERAGE(S14:S85), 2), 0)</f>
        <v/>
      </c>
    </row>
    <row r="87">
      <c r="A87" s="27" t="inlineStr">
        <is>
          <t>Total Appeared</t>
        </is>
      </c>
      <c r="E87" s="8">
        <f>COUNT(E14:E85)</f>
        <v/>
      </c>
      <c r="F87" s="8">
        <f>COUNT(F14:F85)</f>
        <v/>
      </c>
      <c r="G87" s="8">
        <f>COUNT(G14:G85)</f>
        <v/>
      </c>
      <c r="H87" s="8">
        <f>COUNT(H14:H85)</f>
        <v/>
      </c>
      <c r="I87" s="8">
        <f>COUNT(I14:I85)</f>
        <v/>
      </c>
      <c r="J87" s="8">
        <f>COUNT(J14:J85)</f>
        <v/>
      </c>
      <c r="K87" s="8">
        <f>COUNT(K14:K85)</f>
        <v/>
      </c>
      <c r="L87" s="8">
        <f>COUNT(L14:L85)</f>
        <v/>
      </c>
      <c r="M87" s="8">
        <f>COUNT(M14:M85)</f>
        <v/>
      </c>
      <c r="N87" s="8">
        <f>COUNT(N14:N85)</f>
        <v/>
      </c>
      <c r="O87" s="8">
        <f>COUNT(O14:O85)</f>
        <v/>
      </c>
      <c r="P87" s="8">
        <f>COUNT(P14:P85)</f>
        <v/>
      </c>
      <c r="Q87" s="8">
        <f>COUNT(Q14:Q85)</f>
        <v/>
      </c>
      <c r="R87" s="8">
        <f>COUNT(R14:R85)</f>
        <v/>
      </c>
      <c r="S87" s="28">
        <f>COUNT(S14:S85)</f>
        <v/>
      </c>
    </row>
    <row r="88">
      <c r="A88" s="27" t="inlineStr">
        <is>
          <t>% above Avg</t>
        </is>
      </c>
      <c r="E88" s="8">
        <f>IF(AND(COUNT(E14:E85)&gt;0, E86&gt;0), ROUND(COUNTIF(E14:E85, "&gt;="&amp;E86) / COUNT(E14:E85) * 100, 2) &amp; "%", "0%")</f>
        <v/>
      </c>
      <c r="F88" s="8">
        <f>IF(AND(COUNT(F14:F85)&gt;0, F86&gt;0), ROUND(COUNTIF(F14:F85, "&gt;="&amp;F86) / COUNT(F14:F85) * 100, 2) &amp; "%", "0%")</f>
        <v/>
      </c>
      <c r="G88" s="8">
        <f>IF(AND(COUNT(G14:G85)&gt;0, G86&gt;0), ROUND(COUNTIF(G14:G85, "&gt;="&amp;G86) / COUNT(G14:G85) * 100, 2) &amp; "%", "0%")</f>
        <v/>
      </c>
      <c r="H88" s="8">
        <f>IF(AND(COUNT(H14:H85)&gt;0, H86&gt;0), ROUND(COUNTIF(H14:H85, "&gt;="&amp;H86) / COUNT(H14:H85) * 100, 2) &amp; "%", "0%")</f>
        <v/>
      </c>
      <c r="I88" s="8">
        <f>IF(AND(COUNT(I14:I85)&gt;0, I86&gt;0), ROUND(COUNTIF(I14:I85, "&gt;="&amp;I86) / COUNT(I14:I85) * 100, 2) &amp; "%", "0%")</f>
        <v/>
      </c>
      <c r="J88" s="8">
        <f>IF(AND(COUNT(J14:J85)&gt;0, J86&gt;0), ROUND(COUNTIF(J14:J85, "&gt;="&amp;J86) / COUNT(J14:J85) * 100, 2) &amp; "%", "0%")</f>
        <v/>
      </c>
      <c r="K88" s="8">
        <f>IF(AND(COUNT(K14:K85)&gt;0, K86&gt;0), ROUND(COUNTIF(K14:K85, "&gt;="&amp;K86) / COUNT(K14:K85) * 100, 2) &amp; "%", "0%")</f>
        <v/>
      </c>
      <c r="L88" s="8">
        <f>IF(AND(COUNT(L14:L85)&gt;0, L86&gt;0), ROUND(COUNTIF(L14:L85, "&gt;="&amp;L86) / COUNT(L14:L85) * 100, 2) &amp; "%", "0%")</f>
        <v/>
      </c>
      <c r="M88" s="8">
        <f>IF(AND(COUNT(M14:M85)&gt;0, M86&gt;0), ROUND(COUNTIF(M14:M85, "&gt;="&amp;M86) / COUNT(M14:M85) * 100, 2) &amp; "%", "0%")</f>
        <v/>
      </c>
      <c r="N88" s="8">
        <f>IF(AND(COUNT(N14:N85)&gt;0, N86&gt;0), ROUND(COUNTIF(N14:N85, "&gt;="&amp;N86) / COUNT(N14:N85) * 100, 2) &amp; "%", "0%")</f>
        <v/>
      </c>
      <c r="O88" s="8">
        <f>IF(AND(COUNT(O14:O85)&gt;0, O86&gt;0), ROUND(COUNTIF(O14:O85, "&gt;="&amp;O86) / COUNT(O14:O85) * 100, 2) &amp; "%", "0%")</f>
        <v/>
      </c>
      <c r="P88" s="8">
        <f>IF(AND(COUNT(P14:P85)&gt;0, P86&gt;0), ROUND(COUNTIF(P14:P85, "&gt;="&amp;P86) / COUNT(P14:P85) * 100, 2) &amp; "%", "0%")</f>
        <v/>
      </c>
      <c r="Q88" s="8">
        <f>IF(AND(COUNT(Q14:Q85)&gt;0, Q86&gt;0), ROUND(COUNTIF(Q14:Q85, "&gt;="&amp;Q86) / COUNT(Q14:Q85) * 100, 2) &amp; "%", "0%")</f>
        <v/>
      </c>
      <c r="R88" s="8">
        <f>IF(AND(COUNT(R14:R85)&gt;0, R86&gt;0), ROUND(COUNTIF(R14:R85, "&gt;="&amp;R86) / COUNT(R14:R85) * 100, 2) &amp; "%", "0%")</f>
        <v/>
      </c>
      <c r="S88" s="28">
        <f>IF(AND(COUNT(S14:S85)&gt;0, S86&gt;0), ROUND(COUNTIF(S14:S85, "&gt;="&amp;S86) / COUNT(S14:S85) * 100, 2) &amp; "%", "0%")</f>
        <v/>
      </c>
    </row>
    <row r="89">
      <c r="A89" s="27" t="inlineStr">
        <is>
          <t>CO Attainment</t>
        </is>
      </c>
      <c r="E89" s="8" t="n">
        <v>0</v>
      </c>
      <c r="F89" s="8" t="n">
        <v>0</v>
      </c>
      <c r="G89" s="8" t="n">
        <v>2.71</v>
      </c>
      <c r="H89" s="8" t="n">
        <v>2.71</v>
      </c>
      <c r="I89" s="8" t="n">
        <v>2.71</v>
      </c>
      <c r="J89" s="8" t="n">
        <v>2.71</v>
      </c>
      <c r="K89" s="8" t="n">
        <v>2.76</v>
      </c>
      <c r="L89" s="8" t="n">
        <v>0</v>
      </c>
      <c r="M89" s="8" t="n">
        <v>2.71</v>
      </c>
      <c r="N89" s="8" t="n">
        <v>2.71</v>
      </c>
      <c r="O89" s="8" t="n">
        <v>2.71</v>
      </c>
      <c r="P89" s="8" t="n">
        <v>2.71</v>
      </c>
      <c r="Q89" s="8" t="n">
        <v>2.71</v>
      </c>
      <c r="R89" s="8" t="n">
        <v>2.76</v>
      </c>
      <c r="S89" s="28" t="n">
        <v>1.92</v>
      </c>
    </row>
    <row r="91">
      <c r="B91" s="29" t="inlineStr">
        <is>
          <t>CO attainment through FA-TH</t>
        </is>
      </c>
    </row>
    <row r="92">
      <c r="B92" s="30" t="inlineStr">
        <is>
          <t>% CO Attained</t>
        </is>
      </c>
      <c r="C92" s="30" t="inlineStr">
        <is>
          <t>CO attainment</t>
        </is>
      </c>
    </row>
    <row r="93">
      <c r="B93" s="8" t="inlineStr">
        <is>
          <t>CO1</t>
        </is>
      </c>
      <c r="C93" s="9" t="n">
        <v>2.08</v>
      </c>
      <c r="D93" s="8" t="n">
        <v>0</v>
      </c>
    </row>
    <row r="94">
      <c r="B94" s="8" t="inlineStr">
        <is>
          <t>CO2</t>
        </is>
      </c>
      <c r="C94" s="9" t="n">
        <v>1.62</v>
      </c>
      <c r="D94" s="8" t="n">
        <v>2.71</v>
      </c>
    </row>
    <row r="95">
      <c r="B95" s="8" t="inlineStr">
        <is>
          <t>CO3</t>
        </is>
      </c>
      <c r="C95" s="9" t="n">
        <v>0.9399999999999999</v>
      </c>
      <c r="D95" s="8" t="n">
        <v>2.76</v>
      </c>
    </row>
  </sheetData>
  <mergeCells count="26">
    <mergeCell ref="C92:D92"/>
    <mergeCell ref="C3:M3"/>
    <mergeCell ref="A89:C89"/>
    <mergeCell ref="C11:C13"/>
    <mergeCell ref="C9:K9"/>
    <mergeCell ref="A1:B3"/>
    <mergeCell ref="A6:B6"/>
    <mergeCell ref="A86:C86"/>
    <mergeCell ref="A7:B7"/>
    <mergeCell ref="A87:C87"/>
    <mergeCell ref="C1:M1"/>
    <mergeCell ref="C8:K8"/>
    <mergeCell ref="C7:K7"/>
    <mergeCell ref="A5:B5"/>
    <mergeCell ref="A11:A13"/>
    <mergeCell ref="C2:M2"/>
    <mergeCell ref="B11:B13"/>
    <mergeCell ref="S11:S13"/>
    <mergeCell ref="B91:D91"/>
    <mergeCell ref="A8:B8"/>
    <mergeCell ref="C6:K6"/>
    <mergeCell ref="A4:B4"/>
    <mergeCell ref="C5:K5"/>
    <mergeCell ref="A88:C88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9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</cols>
  <sheetData>
    <row r="1">
      <c r="A1" s="1" t="n"/>
      <c r="C1" s="2" t="inlineStr">
        <is>
          <t>Sandip Polytechnic, Nashik</t>
        </is>
      </c>
      <c r="N1" s="3" t="inlineStr">
        <is>
          <t>Class test 02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Class test 02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1">
      <c r="A11" s="19" t="inlineStr">
        <is>
          <t>ENROLLMENT NO.</t>
        </is>
      </c>
      <c r="B11" s="19" t="inlineStr">
        <is>
          <t>Roll no.</t>
        </is>
      </c>
      <c r="C11" s="19" t="inlineStr">
        <is>
          <t>Name of Student</t>
        </is>
      </c>
      <c r="D11" s="17" t="inlineStr">
        <is>
          <t>Q-&gt;</t>
        </is>
      </c>
      <c r="E11" s="20" t="inlineStr">
        <is>
          <t>1(a)</t>
        </is>
      </c>
      <c r="F11" s="20" t="inlineStr">
        <is>
          <t>1(b)</t>
        </is>
      </c>
      <c r="G11" s="20" t="inlineStr">
        <is>
          <t>1(c)</t>
        </is>
      </c>
      <c r="H11" s="20" t="inlineStr">
        <is>
          <t>1(d)</t>
        </is>
      </c>
      <c r="I11" s="20" t="inlineStr">
        <is>
          <t>1(e)</t>
        </is>
      </c>
      <c r="J11" s="20" t="inlineStr">
        <is>
          <t>1(f)</t>
        </is>
      </c>
      <c r="K11" s="20" t="inlineStr">
        <is>
          <t>1(g)</t>
        </is>
      </c>
      <c r="L11" s="20" t="inlineStr">
        <is>
          <t>2(a)</t>
        </is>
      </c>
      <c r="M11" s="20" t="inlineStr">
        <is>
          <t>2(b)</t>
        </is>
      </c>
      <c r="N11" s="20" t="inlineStr">
        <is>
          <t>2(c)</t>
        </is>
      </c>
      <c r="O11" s="20" t="inlineStr">
        <is>
          <t>2(d)</t>
        </is>
      </c>
      <c r="P11" s="20" t="inlineStr">
        <is>
          <t>2(e)</t>
        </is>
      </c>
      <c r="Q11" s="20" t="inlineStr">
        <is>
          <t>2(f)</t>
        </is>
      </c>
      <c r="R11" s="20" t="inlineStr">
        <is>
          <t>2(g)</t>
        </is>
      </c>
      <c r="S11" s="21" t="inlineStr">
        <is>
          <t>Total</t>
        </is>
      </c>
    </row>
    <row r="12">
      <c r="A12" s="22" t="n"/>
      <c r="B12" s="22" t="n"/>
      <c r="C12" s="22" t="n"/>
      <c r="D12" s="17" t="inlineStr">
        <is>
          <t>Wt-&gt;</t>
        </is>
      </c>
      <c r="E12" s="23" t="n">
        <v>2</v>
      </c>
      <c r="F12" s="23" t="n">
        <v>2</v>
      </c>
      <c r="G12" s="23" t="n">
        <v>2</v>
      </c>
      <c r="H12" s="23" t="n">
        <v>2</v>
      </c>
      <c r="I12" s="23" t="n">
        <v>2</v>
      </c>
      <c r="J12" s="23" t="n">
        <v>2</v>
      </c>
      <c r="K12" s="23" t="n">
        <v>2</v>
      </c>
      <c r="L12" s="23" t="n">
        <v>4</v>
      </c>
      <c r="M12" s="23" t="n">
        <v>4</v>
      </c>
      <c r="N12" s="23" t="n">
        <v>4</v>
      </c>
      <c r="O12" s="23" t="n">
        <v>4</v>
      </c>
      <c r="P12" s="23" t="n">
        <v>4</v>
      </c>
      <c r="Q12" s="23" t="n">
        <v>4</v>
      </c>
      <c r="R12" s="23" t="n">
        <v>4</v>
      </c>
      <c r="S12" s="22" t="n"/>
    </row>
    <row r="13">
      <c r="A13" s="24" t="n"/>
      <c r="B13" s="24" t="n"/>
      <c r="C13" s="24" t="n"/>
      <c r="D13" s="17" t="inlineStr">
        <is>
          <t>CO -&gt;</t>
        </is>
      </c>
      <c r="E13" s="25" t="inlineStr">
        <is>
          <t>CO4</t>
        </is>
      </c>
      <c r="F13" s="25" t="inlineStr">
        <is>
          <t>CO4</t>
        </is>
      </c>
      <c r="G13" s="25" t="inlineStr">
        <is>
          <t>CO4</t>
        </is>
      </c>
      <c r="H13" s="25" t="inlineStr">
        <is>
          <t>CO4</t>
        </is>
      </c>
      <c r="I13" s="25" t="inlineStr">
        <is>
          <t>CO5</t>
        </is>
      </c>
      <c r="J13" s="25" t="inlineStr">
        <is>
          <t>CO5</t>
        </is>
      </c>
      <c r="K13" s="25" t="inlineStr">
        <is>
          <t>CO6</t>
        </is>
      </c>
      <c r="L13" s="25" t="inlineStr">
        <is>
          <t>CO4</t>
        </is>
      </c>
      <c r="M13" s="25" t="inlineStr">
        <is>
          <t>CO4</t>
        </is>
      </c>
      <c r="N13" s="25" t="inlineStr">
        <is>
          <t>CO4</t>
        </is>
      </c>
      <c r="O13" s="25" t="inlineStr">
        <is>
          <t>CO4</t>
        </is>
      </c>
      <c r="P13" s="25" t="inlineStr">
        <is>
          <t>CO5</t>
        </is>
      </c>
      <c r="Q13" s="25" t="inlineStr">
        <is>
          <t>CO5</t>
        </is>
      </c>
      <c r="R13" s="25" t="inlineStr">
        <is>
          <t>CO6</t>
        </is>
      </c>
      <c r="S13" s="24" t="n"/>
    </row>
    <row r="14">
      <c r="A14" s="14" t="inlineStr">
        <is>
          <t>23611780171</t>
        </is>
      </c>
      <c r="B14" s="14" t="inlineStr">
        <is>
          <t>1</t>
        </is>
      </c>
      <c r="C14" s="26" t="inlineStr">
        <is>
          <t>MORE LALIT DILIP</t>
        </is>
      </c>
      <c r="E14" s="8" t="n">
        <v>2</v>
      </c>
      <c r="F14" s="8" t="n">
        <v>2</v>
      </c>
      <c r="G14" s="8" t="n">
        <v>2</v>
      </c>
      <c r="H14" s="8" t="n">
        <v>0</v>
      </c>
      <c r="I14" s="8" t="n">
        <v>0</v>
      </c>
      <c r="J14" s="8" t="n">
        <v>2</v>
      </c>
      <c r="K14" s="8" t="n">
        <v>1</v>
      </c>
      <c r="L14" s="8" t="n">
        <v>0</v>
      </c>
      <c r="M14" s="8" t="n">
        <v>0</v>
      </c>
      <c r="N14" s="8" t="n">
        <v>1</v>
      </c>
      <c r="O14" s="8" t="n">
        <v>3</v>
      </c>
      <c r="P14" s="8" t="n">
        <v>0</v>
      </c>
      <c r="Q14" s="8" t="n">
        <v>2</v>
      </c>
      <c r="R14" s="8" t="n">
        <v>3</v>
      </c>
      <c r="S14" s="8" t="n">
        <v>18</v>
      </c>
    </row>
    <row r="15">
      <c r="A15" s="14" t="inlineStr">
        <is>
          <t>23611780172</t>
        </is>
      </c>
      <c r="B15" s="14" t="inlineStr">
        <is>
          <t>2</t>
        </is>
      </c>
      <c r="C15" s="26" t="inlineStr">
        <is>
          <t>JAGZAP ANIL NANA</t>
        </is>
      </c>
      <c r="E15" s="8" t="n">
        <v>2</v>
      </c>
      <c r="F15" s="8" t="n">
        <v>2</v>
      </c>
      <c r="G15" s="8" t="n">
        <v>2</v>
      </c>
      <c r="H15" s="8" t="n">
        <v>2</v>
      </c>
      <c r="I15" s="8" t="n">
        <v>0</v>
      </c>
      <c r="J15" s="8" t="n">
        <v>0</v>
      </c>
      <c r="K15" s="8" t="n">
        <v>2</v>
      </c>
      <c r="L15" s="8" t="n">
        <v>4</v>
      </c>
      <c r="M15" s="8" t="n">
        <v>4</v>
      </c>
      <c r="N15" s="8" t="n">
        <v>0</v>
      </c>
      <c r="O15" s="8" t="n">
        <v>2</v>
      </c>
      <c r="P15" s="8" t="n">
        <v>0</v>
      </c>
      <c r="Q15" s="8" t="n">
        <v>3</v>
      </c>
      <c r="R15" s="8" t="n">
        <v>4</v>
      </c>
      <c r="S15" s="8" t="n">
        <v>27</v>
      </c>
    </row>
    <row r="16">
      <c r="A16" s="14" t="inlineStr">
        <is>
          <t>23611780173</t>
        </is>
      </c>
      <c r="B16" s="14" t="inlineStr">
        <is>
          <t>3</t>
        </is>
      </c>
      <c r="C16" s="26" t="inlineStr">
        <is>
          <t>NIKAM NIRANJAN SATISH</t>
        </is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2</v>
      </c>
      <c r="P16" s="8" t="n">
        <v>4</v>
      </c>
      <c r="Q16" s="8" t="n">
        <v>4</v>
      </c>
      <c r="R16" s="8" t="n">
        <v>4</v>
      </c>
      <c r="S16" s="8" t="n">
        <v>14</v>
      </c>
    </row>
    <row r="17">
      <c r="A17" s="14" t="inlineStr">
        <is>
          <t>23611780174</t>
        </is>
      </c>
      <c r="B17" s="14" t="inlineStr">
        <is>
          <t>4</t>
        </is>
      </c>
      <c r="C17" s="26" t="inlineStr">
        <is>
          <t>BIDAIT VAIBHAV BALASAHEB</t>
        </is>
      </c>
      <c r="E17" s="8" t="n">
        <v>1</v>
      </c>
      <c r="F17" s="8" t="n">
        <v>2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2</v>
      </c>
      <c r="M17" s="8" t="n">
        <v>0</v>
      </c>
      <c r="N17" s="8" t="n">
        <v>0</v>
      </c>
      <c r="O17" s="8" t="n">
        <v>0</v>
      </c>
      <c r="P17" s="8" t="n">
        <v>1</v>
      </c>
      <c r="Q17" s="8" t="n">
        <v>4</v>
      </c>
      <c r="R17" s="8" t="n">
        <v>3</v>
      </c>
      <c r="S17" s="8" t="n">
        <v>13</v>
      </c>
    </row>
    <row r="18">
      <c r="A18" s="14" t="inlineStr">
        <is>
          <t>23611780175</t>
        </is>
      </c>
      <c r="B18" s="14" t="inlineStr">
        <is>
          <t>5</t>
        </is>
      </c>
      <c r="C18" s="26" t="inlineStr">
        <is>
          <t>BHABAD SANIKA JAGADISH</t>
        </is>
      </c>
      <c r="E18" s="8" t="n">
        <v>0</v>
      </c>
      <c r="F18" s="8" t="n">
        <v>1</v>
      </c>
      <c r="G18" s="8" t="n">
        <v>1</v>
      </c>
      <c r="H18" s="8" t="n">
        <v>0</v>
      </c>
      <c r="I18" s="8" t="n">
        <v>2</v>
      </c>
      <c r="J18" s="8" t="n">
        <v>2</v>
      </c>
      <c r="K18" s="8" t="n">
        <v>2</v>
      </c>
      <c r="L18" s="8" t="n">
        <v>0</v>
      </c>
      <c r="M18" s="8" t="n">
        <v>0</v>
      </c>
      <c r="N18" s="8" t="n">
        <v>0</v>
      </c>
      <c r="O18" s="8" t="n">
        <v>4</v>
      </c>
      <c r="P18" s="8" t="n">
        <v>0</v>
      </c>
      <c r="Q18" s="8" t="n">
        <v>4</v>
      </c>
      <c r="R18" s="8" t="n">
        <v>4</v>
      </c>
      <c r="S18" s="8" t="n">
        <v>20</v>
      </c>
    </row>
    <row r="19">
      <c r="A19" s="14" t="inlineStr">
        <is>
          <t>23611780176</t>
        </is>
      </c>
      <c r="B19" s="14" t="inlineStr">
        <is>
          <t>6</t>
        </is>
      </c>
      <c r="C19" s="26" t="inlineStr">
        <is>
          <t>JADHAV RAHUL DEVENDRA</t>
        </is>
      </c>
      <c r="E19" s="8" t="n">
        <v>2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2</v>
      </c>
      <c r="K19" s="8" t="n">
        <v>2</v>
      </c>
      <c r="L19" s="8" t="n">
        <v>4</v>
      </c>
      <c r="M19" s="8" t="n">
        <v>0</v>
      </c>
      <c r="N19" s="8" t="n">
        <v>0</v>
      </c>
      <c r="O19" s="8" t="n">
        <v>0</v>
      </c>
      <c r="P19" s="8" t="n">
        <v>0</v>
      </c>
      <c r="Q19" s="8" t="n">
        <v>4</v>
      </c>
      <c r="R19" s="8" t="n">
        <v>4</v>
      </c>
      <c r="S19" s="8" t="n">
        <v>18</v>
      </c>
    </row>
    <row r="20">
      <c r="A20" s="14" t="inlineStr">
        <is>
          <t>23611780177</t>
        </is>
      </c>
      <c r="B20" s="14" t="inlineStr">
        <is>
          <t>7</t>
        </is>
      </c>
      <c r="C20" s="26" t="inlineStr">
        <is>
          <t>SURVE PARTH YOGESH</t>
        </is>
      </c>
      <c r="E20" s="8" t="n">
        <v>2</v>
      </c>
      <c r="F20" s="8" t="n">
        <v>0</v>
      </c>
      <c r="G20" s="8" t="n">
        <v>2</v>
      </c>
      <c r="H20" s="8" t="n">
        <v>0</v>
      </c>
      <c r="I20" s="8" t="n">
        <v>0</v>
      </c>
      <c r="J20" s="8" t="n">
        <v>2</v>
      </c>
      <c r="K20" s="8" t="n">
        <v>2</v>
      </c>
      <c r="L20" s="8" t="n">
        <v>3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2</v>
      </c>
      <c r="R20" s="8" t="n">
        <v>4</v>
      </c>
      <c r="S20" s="8" t="n">
        <v>17</v>
      </c>
    </row>
    <row r="21">
      <c r="A21" s="14" t="inlineStr">
        <is>
          <t>23611780178</t>
        </is>
      </c>
      <c r="B21" s="14" t="inlineStr">
        <is>
          <t>8</t>
        </is>
      </c>
      <c r="C21" s="26" t="inlineStr">
        <is>
          <t>HANDE SALONI PRABHAKAR</t>
        </is>
      </c>
      <c r="E21" s="8" t="n">
        <v>2</v>
      </c>
      <c r="F21" s="8" t="n">
        <v>2</v>
      </c>
      <c r="G21" s="8" t="n">
        <v>2</v>
      </c>
      <c r="H21" s="8" t="n">
        <v>0</v>
      </c>
      <c r="I21" s="8" t="n">
        <v>0</v>
      </c>
      <c r="J21" s="8" t="n">
        <v>2</v>
      </c>
      <c r="K21" s="8" t="n">
        <v>2</v>
      </c>
      <c r="L21" s="8" t="n">
        <v>0</v>
      </c>
      <c r="M21" s="8" t="n">
        <v>0</v>
      </c>
      <c r="N21" s="8" t="n">
        <v>0</v>
      </c>
      <c r="O21" s="8" t="n">
        <v>3</v>
      </c>
      <c r="P21" s="8" t="n">
        <v>0</v>
      </c>
      <c r="Q21" s="8" t="n">
        <v>0</v>
      </c>
      <c r="R21" s="8" t="n">
        <v>2</v>
      </c>
      <c r="S21" s="8" t="n">
        <v>15</v>
      </c>
    </row>
    <row r="22">
      <c r="A22" s="14" t="inlineStr">
        <is>
          <t>23611780179</t>
        </is>
      </c>
      <c r="B22" s="14" t="inlineStr">
        <is>
          <t>9</t>
        </is>
      </c>
      <c r="C22" s="26" t="inlineStr">
        <is>
          <t>PINGALKAR VAISHNAVI VIJAY</t>
        </is>
      </c>
      <c r="E22" s="8" t="n">
        <v>0</v>
      </c>
      <c r="F22" s="8" t="n">
        <v>2</v>
      </c>
      <c r="G22" s="8" t="n">
        <v>0</v>
      </c>
      <c r="H22" s="8" t="n">
        <v>0</v>
      </c>
      <c r="I22" s="8" t="n">
        <v>1</v>
      </c>
      <c r="J22" s="8" t="n">
        <v>2</v>
      </c>
      <c r="K22" s="8" t="n">
        <v>2</v>
      </c>
      <c r="L22" s="8" t="n">
        <v>0</v>
      </c>
      <c r="M22" s="8" t="n">
        <v>4</v>
      </c>
      <c r="N22" s="8" t="n">
        <v>0</v>
      </c>
      <c r="O22" s="8" t="n">
        <v>0</v>
      </c>
      <c r="P22" s="8" t="n">
        <v>0</v>
      </c>
      <c r="Q22" s="8" t="n">
        <v>4</v>
      </c>
      <c r="R22" s="8" t="n">
        <v>4</v>
      </c>
      <c r="S22" s="8" t="n">
        <v>19</v>
      </c>
    </row>
    <row r="23">
      <c r="A23" s="14" t="inlineStr">
        <is>
          <t>23611780180</t>
        </is>
      </c>
      <c r="B23" s="14" t="inlineStr">
        <is>
          <t>10</t>
        </is>
      </c>
      <c r="C23" s="26" t="inlineStr">
        <is>
          <t>DEORE SURAJ RAJENDRA</t>
        </is>
      </c>
      <c r="E23" s="8" t="n">
        <v>0</v>
      </c>
      <c r="F23" s="8" t="n">
        <v>0</v>
      </c>
      <c r="G23" s="8" t="n">
        <v>2</v>
      </c>
      <c r="H23" s="8" t="n">
        <v>0</v>
      </c>
      <c r="I23" s="8" t="n">
        <v>0</v>
      </c>
      <c r="J23" s="8" t="n">
        <v>0</v>
      </c>
      <c r="K23" s="8" t="n">
        <v>0</v>
      </c>
      <c r="L23" s="8" t="n">
        <v>4</v>
      </c>
      <c r="M23" s="8" t="n">
        <v>4</v>
      </c>
      <c r="N23" s="8" t="n">
        <v>0</v>
      </c>
      <c r="O23" s="8" t="n">
        <v>4</v>
      </c>
      <c r="P23" s="8" t="n">
        <v>0</v>
      </c>
      <c r="Q23" s="8" t="n">
        <v>4</v>
      </c>
      <c r="R23" s="8" t="n">
        <v>1</v>
      </c>
      <c r="S23" s="8" t="n">
        <v>19</v>
      </c>
    </row>
    <row r="24">
      <c r="A24" s="14" t="inlineStr">
        <is>
          <t>23611780181</t>
        </is>
      </c>
      <c r="B24" s="14" t="inlineStr">
        <is>
          <t>11</t>
        </is>
      </c>
      <c r="C24" s="26" t="inlineStr">
        <is>
          <t>NETKAR YASH DIGAMBAR</t>
        </is>
      </c>
      <c r="E24" s="8" t="n">
        <v>1</v>
      </c>
      <c r="F24" s="8" t="n">
        <v>0</v>
      </c>
      <c r="G24" s="8" t="n">
        <v>1</v>
      </c>
      <c r="H24" s="8" t="n">
        <v>2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2</v>
      </c>
      <c r="N24" s="8" t="n">
        <v>0</v>
      </c>
      <c r="O24" s="8" t="n">
        <v>3</v>
      </c>
      <c r="P24" s="8" t="n">
        <v>0</v>
      </c>
      <c r="Q24" s="8" t="n">
        <v>4</v>
      </c>
      <c r="R24" s="8" t="n">
        <v>0</v>
      </c>
      <c r="S24" s="8" t="n">
        <v>13</v>
      </c>
    </row>
    <row r="25">
      <c r="A25" s="14" t="inlineStr">
        <is>
          <t>23611780182</t>
        </is>
      </c>
      <c r="B25" s="14" t="inlineStr">
        <is>
          <t>12</t>
        </is>
      </c>
      <c r="C25" s="26" t="inlineStr">
        <is>
          <t>MINDE ASHUTOSH SUBHASH</t>
        </is>
      </c>
      <c r="E25" s="8" t="n">
        <v>2</v>
      </c>
      <c r="F25" s="8" t="n">
        <v>2</v>
      </c>
      <c r="G25" s="8" t="n">
        <v>2</v>
      </c>
      <c r="H25" s="8" t="n">
        <v>2</v>
      </c>
      <c r="I25" s="8" t="n">
        <v>0</v>
      </c>
      <c r="J25" s="8" t="n">
        <v>0</v>
      </c>
      <c r="K25" s="8" t="n">
        <v>2</v>
      </c>
      <c r="L25" s="8" t="n">
        <v>4</v>
      </c>
      <c r="M25" s="8" t="n">
        <v>0</v>
      </c>
      <c r="N25" s="8" t="n">
        <v>0</v>
      </c>
      <c r="O25" s="8" t="n">
        <v>4</v>
      </c>
      <c r="P25" s="8" t="n">
        <v>4</v>
      </c>
      <c r="Q25" s="8" t="n">
        <v>3</v>
      </c>
      <c r="R25" s="8" t="n">
        <v>1</v>
      </c>
      <c r="S25" s="8" t="n">
        <v>26</v>
      </c>
    </row>
    <row r="26">
      <c r="A26" s="14" t="inlineStr">
        <is>
          <t>23611780183</t>
        </is>
      </c>
      <c r="B26" s="14" t="inlineStr">
        <is>
          <t>13</t>
        </is>
      </c>
      <c r="C26" s="26" t="inlineStr">
        <is>
          <t>CHAUDHARI CHIRAG SANJAY</t>
        </is>
      </c>
      <c r="E26" s="8" t="n">
        <v>0</v>
      </c>
      <c r="F26" s="8" t="n">
        <v>1</v>
      </c>
      <c r="G26" s="8" t="n">
        <v>0</v>
      </c>
      <c r="H26" s="8" t="n">
        <v>0</v>
      </c>
      <c r="I26" s="8" t="n">
        <v>1</v>
      </c>
      <c r="J26" s="8" t="n">
        <v>0</v>
      </c>
      <c r="K26" s="8" t="n">
        <v>0</v>
      </c>
      <c r="L26" s="8" t="n">
        <v>0</v>
      </c>
      <c r="M26" s="8" t="n">
        <v>4</v>
      </c>
      <c r="N26" s="8" t="n">
        <v>0</v>
      </c>
      <c r="O26" s="8" t="n">
        <v>2</v>
      </c>
      <c r="P26" s="8" t="n">
        <v>0</v>
      </c>
      <c r="Q26" s="8" t="n">
        <v>4</v>
      </c>
      <c r="R26" s="8" t="n">
        <v>4</v>
      </c>
      <c r="S26" s="8" t="n">
        <v>16</v>
      </c>
    </row>
    <row r="27">
      <c r="A27" s="14" t="inlineStr">
        <is>
          <t>23611780184</t>
        </is>
      </c>
      <c r="B27" s="14" t="inlineStr">
        <is>
          <t>14</t>
        </is>
      </c>
      <c r="C27" s="26" t="inlineStr">
        <is>
          <t>AHIRRAO SARVESH SUNIL</t>
        </is>
      </c>
      <c r="E27" s="8" t="n">
        <v>2</v>
      </c>
      <c r="F27" s="8" t="n">
        <v>1</v>
      </c>
      <c r="G27" s="8" t="n">
        <v>0</v>
      </c>
      <c r="H27" s="8" t="n">
        <v>0</v>
      </c>
      <c r="I27" s="8" t="n">
        <v>0</v>
      </c>
      <c r="J27" s="8" t="n">
        <v>1</v>
      </c>
      <c r="K27" s="8" t="n">
        <v>1</v>
      </c>
      <c r="L27" s="8" t="n">
        <v>0</v>
      </c>
      <c r="M27" s="8" t="n">
        <v>4</v>
      </c>
      <c r="N27" s="8" t="n">
        <v>2</v>
      </c>
      <c r="O27" s="8" t="n">
        <v>0</v>
      </c>
      <c r="P27" s="8" t="n">
        <v>0</v>
      </c>
      <c r="Q27" s="8" t="n">
        <v>4</v>
      </c>
      <c r="R27" s="8" t="n">
        <v>4</v>
      </c>
      <c r="S27" s="8" t="n">
        <v>19</v>
      </c>
    </row>
    <row r="28">
      <c r="A28" s="14" t="inlineStr">
        <is>
          <t>23611780185</t>
        </is>
      </c>
      <c r="B28" s="14" t="inlineStr">
        <is>
          <t>15</t>
        </is>
      </c>
      <c r="C28" s="26" t="inlineStr">
        <is>
          <t>SHEJOLE ANSHU SUNIL</t>
        </is>
      </c>
      <c r="E28" s="8" t="n">
        <v>2</v>
      </c>
      <c r="F28" s="8" t="n">
        <v>2</v>
      </c>
      <c r="G28" s="8" t="n">
        <v>2</v>
      </c>
      <c r="H28" s="8" t="n">
        <v>2</v>
      </c>
      <c r="I28" s="8" t="n">
        <v>0</v>
      </c>
      <c r="J28" s="8" t="n">
        <v>0</v>
      </c>
      <c r="K28" s="8" t="n">
        <v>2</v>
      </c>
      <c r="L28" s="8" t="n">
        <v>4</v>
      </c>
      <c r="M28" s="8" t="n">
        <v>4</v>
      </c>
      <c r="N28" s="8" t="n">
        <v>0</v>
      </c>
      <c r="O28" s="8" t="n">
        <v>4</v>
      </c>
      <c r="P28" s="8" t="n">
        <v>4</v>
      </c>
      <c r="Q28" s="8" t="n">
        <v>4</v>
      </c>
      <c r="R28" s="8" t="n">
        <v>0</v>
      </c>
      <c r="S28" s="8" t="n">
        <v>30</v>
      </c>
    </row>
    <row r="29">
      <c r="A29" s="14" t="inlineStr">
        <is>
          <t>23611780186</t>
        </is>
      </c>
      <c r="B29" s="14" t="inlineStr">
        <is>
          <t>16</t>
        </is>
      </c>
      <c r="C29" s="26" t="inlineStr">
        <is>
          <t>SHAIKH FARHEEN HUSSAIN M.</t>
        </is>
      </c>
      <c r="E29" s="8" t="n">
        <v>2</v>
      </c>
      <c r="F29" s="8" t="n">
        <v>2</v>
      </c>
      <c r="G29" s="8" t="n">
        <v>2</v>
      </c>
      <c r="H29" s="8" t="n">
        <v>2</v>
      </c>
      <c r="I29" s="8" t="n">
        <v>2</v>
      </c>
      <c r="J29" s="8" t="n">
        <v>0</v>
      </c>
      <c r="K29" s="8" t="n">
        <v>0</v>
      </c>
      <c r="L29" s="8" t="n">
        <v>4</v>
      </c>
      <c r="M29" s="8" t="n">
        <v>4</v>
      </c>
      <c r="N29" s="8" t="n">
        <v>0</v>
      </c>
      <c r="O29" s="8" t="n">
        <v>4</v>
      </c>
      <c r="P29" s="8" t="n">
        <v>4</v>
      </c>
      <c r="Q29" s="8" t="n">
        <v>4</v>
      </c>
      <c r="R29" s="8" t="n">
        <v>0</v>
      </c>
      <c r="S29" s="8" t="n">
        <v>30</v>
      </c>
    </row>
    <row r="30">
      <c r="A30" s="14" t="inlineStr">
        <is>
          <t>23611780187</t>
        </is>
      </c>
      <c r="B30" s="14" t="inlineStr">
        <is>
          <t>17</t>
        </is>
      </c>
      <c r="C30" s="26" t="inlineStr">
        <is>
          <t>PURE SHREYAS SUBHASH</t>
        </is>
      </c>
      <c r="E30" s="8" t="n">
        <v>2</v>
      </c>
      <c r="F30" s="8" t="n">
        <v>2</v>
      </c>
      <c r="G30" s="8" t="n">
        <v>2</v>
      </c>
      <c r="H30" s="8" t="n">
        <v>2</v>
      </c>
      <c r="I30" s="8" t="n">
        <v>0</v>
      </c>
      <c r="J30" s="8" t="n">
        <v>1</v>
      </c>
      <c r="K30" s="8" t="n">
        <v>0</v>
      </c>
      <c r="L30" s="8" t="n">
        <v>4</v>
      </c>
      <c r="M30" s="8" t="n">
        <v>0</v>
      </c>
      <c r="N30" s="8" t="n">
        <v>0</v>
      </c>
      <c r="O30" s="8" t="n">
        <v>4</v>
      </c>
      <c r="P30" s="8" t="n">
        <v>0</v>
      </c>
      <c r="Q30" s="8" t="n">
        <v>0</v>
      </c>
      <c r="R30" s="8" t="n">
        <v>0</v>
      </c>
      <c r="S30" s="8" t="n">
        <v>17</v>
      </c>
    </row>
    <row r="31">
      <c r="A31" s="14" t="inlineStr">
        <is>
          <t>23611780188</t>
        </is>
      </c>
      <c r="B31" s="14" t="inlineStr">
        <is>
          <t>18</t>
        </is>
      </c>
      <c r="C31" s="26" t="inlineStr">
        <is>
          <t>GANGURDE HEMANT HARI</t>
        </is>
      </c>
      <c r="E31" s="8" t="n">
        <v>2</v>
      </c>
      <c r="F31" s="8" t="n">
        <v>0</v>
      </c>
      <c r="G31" s="8" t="n">
        <v>2</v>
      </c>
      <c r="H31" s="8" t="n">
        <v>0</v>
      </c>
      <c r="I31" s="8" t="n">
        <v>2</v>
      </c>
      <c r="J31" s="8" t="n">
        <v>0</v>
      </c>
      <c r="K31" s="8" t="n">
        <v>0</v>
      </c>
      <c r="L31" s="8" t="n">
        <v>0</v>
      </c>
      <c r="M31" s="8" t="n">
        <v>4</v>
      </c>
      <c r="N31" s="8" t="n">
        <v>4</v>
      </c>
      <c r="O31" s="8" t="n">
        <v>0</v>
      </c>
      <c r="P31" s="8" t="n">
        <v>4</v>
      </c>
      <c r="Q31" s="8" t="n">
        <v>4</v>
      </c>
      <c r="R31" s="8" t="n">
        <v>0</v>
      </c>
      <c r="S31" s="8" t="n">
        <v>22</v>
      </c>
    </row>
    <row r="32">
      <c r="A32" s="14" t="inlineStr">
        <is>
          <t>23611780189</t>
        </is>
      </c>
      <c r="B32" s="14" t="inlineStr">
        <is>
          <t>19</t>
        </is>
      </c>
      <c r="C32" s="26" t="inlineStr">
        <is>
          <t>KOR LOKESH SATISH</t>
        </is>
      </c>
      <c r="E32" s="8" t="n">
        <v>2</v>
      </c>
      <c r="F32" s="8" t="n">
        <v>2</v>
      </c>
      <c r="G32" s="8" t="n">
        <v>2</v>
      </c>
      <c r="H32" s="8" t="n">
        <v>0</v>
      </c>
      <c r="I32" s="8" t="n">
        <v>2</v>
      </c>
      <c r="J32" s="8" t="n">
        <v>0</v>
      </c>
      <c r="K32" s="8" t="n">
        <v>0</v>
      </c>
      <c r="L32" s="8" t="n">
        <v>4</v>
      </c>
      <c r="M32" s="8" t="n">
        <v>0</v>
      </c>
      <c r="N32" s="8" t="n">
        <v>2</v>
      </c>
      <c r="O32" s="8" t="n">
        <v>1</v>
      </c>
      <c r="P32" s="8" t="n">
        <v>0</v>
      </c>
      <c r="Q32" s="8" t="n">
        <v>0</v>
      </c>
      <c r="R32" s="8" t="n">
        <v>0</v>
      </c>
      <c r="S32" s="8" t="n">
        <v>15</v>
      </c>
    </row>
    <row r="33">
      <c r="A33" s="14" t="inlineStr">
        <is>
          <t>23611780190</t>
        </is>
      </c>
      <c r="B33" s="14" t="inlineStr">
        <is>
          <t>20</t>
        </is>
      </c>
      <c r="C33" s="26" t="inlineStr">
        <is>
          <t>DEORE VAISHNAVI DILIP</t>
        </is>
      </c>
      <c r="E33" s="8" t="n">
        <v>2</v>
      </c>
      <c r="F33" s="8" t="n">
        <v>1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0</v>
      </c>
      <c r="L33" s="8" t="n">
        <v>0</v>
      </c>
      <c r="M33" s="8" t="n">
        <v>0</v>
      </c>
      <c r="N33" s="8" t="n">
        <v>3</v>
      </c>
      <c r="O33" s="8" t="n">
        <v>0</v>
      </c>
      <c r="P33" s="8" t="n">
        <v>2</v>
      </c>
      <c r="Q33" s="8" t="n">
        <v>3</v>
      </c>
      <c r="R33" s="8" t="n">
        <v>4</v>
      </c>
      <c r="S33" s="8" t="n">
        <v>15</v>
      </c>
    </row>
    <row r="34">
      <c r="A34" s="14" t="inlineStr">
        <is>
          <t>23611780191</t>
        </is>
      </c>
      <c r="B34" s="14" t="inlineStr">
        <is>
          <t>21</t>
        </is>
      </c>
      <c r="C34" s="26" t="inlineStr">
        <is>
          <t>MAHAJAN RADHIKA KANTILAL</t>
        </is>
      </c>
      <c r="E34" s="8" t="n">
        <v>2</v>
      </c>
      <c r="F34" s="8" t="n">
        <v>2</v>
      </c>
      <c r="G34" s="8" t="n">
        <v>2</v>
      </c>
      <c r="H34" s="8" t="n">
        <v>0</v>
      </c>
      <c r="I34" s="8" t="n">
        <v>0</v>
      </c>
      <c r="J34" s="8" t="n">
        <v>2</v>
      </c>
      <c r="K34" s="8" t="n">
        <v>2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3</v>
      </c>
      <c r="S34" s="8" t="n">
        <v>13</v>
      </c>
    </row>
    <row r="35">
      <c r="A35" s="14" t="inlineStr">
        <is>
          <t>23611780192</t>
        </is>
      </c>
      <c r="B35" s="14" t="inlineStr">
        <is>
          <t>22</t>
        </is>
      </c>
      <c r="C35" s="26" t="inlineStr">
        <is>
          <t>DESHMANE PURVA SANTOSH</t>
        </is>
      </c>
      <c r="E35" s="8" t="n">
        <v>1</v>
      </c>
      <c r="F35" s="8" t="n">
        <v>2</v>
      </c>
      <c r="G35" s="8" t="n">
        <v>0</v>
      </c>
      <c r="H35" s="8" t="n">
        <v>2</v>
      </c>
      <c r="I35" s="8" t="n">
        <v>0</v>
      </c>
      <c r="J35" s="8" t="n">
        <v>1</v>
      </c>
      <c r="K35" s="8" t="n">
        <v>0</v>
      </c>
      <c r="L35" s="8" t="n">
        <v>3</v>
      </c>
      <c r="M35" s="8" t="n">
        <v>4</v>
      </c>
      <c r="N35" s="8" t="n">
        <v>2</v>
      </c>
      <c r="O35" s="8" t="n">
        <v>2</v>
      </c>
      <c r="P35" s="8" t="n">
        <v>0</v>
      </c>
      <c r="Q35" s="8" t="n">
        <v>4</v>
      </c>
      <c r="R35" s="8" t="n">
        <v>0</v>
      </c>
      <c r="S35" s="8" t="n">
        <v>21</v>
      </c>
    </row>
    <row r="36">
      <c r="A36" s="14" t="inlineStr">
        <is>
          <t>23611780193</t>
        </is>
      </c>
      <c r="B36" s="14" t="inlineStr">
        <is>
          <t>23</t>
        </is>
      </c>
      <c r="C36" s="26" t="inlineStr">
        <is>
          <t>CHITTE GRISHMA RAVINDRA</t>
        </is>
      </c>
      <c r="E36" s="8" t="n">
        <v>1</v>
      </c>
      <c r="F36" s="8" t="n">
        <v>1</v>
      </c>
      <c r="G36" s="8" t="n">
        <v>0</v>
      </c>
      <c r="H36" s="8" t="n">
        <v>0</v>
      </c>
      <c r="I36" s="8" t="n">
        <v>1</v>
      </c>
      <c r="J36" s="8" t="n">
        <v>2</v>
      </c>
      <c r="K36" s="8" t="n">
        <v>2</v>
      </c>
      <c r="L36" s="8" t="n">
        <v>4</v>
      </c>
      <c r="M36" s="8" t="n">
        <v>4</v>
      </c>
      <c r="N36" s="8" t="n">
        <v>0</v>
      </c>
      <c r="O36" s="8" t="n">
        <v>0</v>
      </c>
      <c r="P36" s="8" t="n">
        <v>0</v>
      </c>
      <c r="Q36" s="8" t="n">
        <v>4</v>
      </c>
      <c r="R36" s="8" t="n">
        <v>4</v>
      </c>
      <c r="S36" s="8" t="n">
        <v>23</v>
      </c>
    </row>
    <row r="37">
      <c r="A37" s="14" t="inlineStr">
        <is>
          <t>23611780194</t>
        </is>
      </c>
      <c r="B37" s="14" t="inlineStr">
        <is>
          <t>24</t>
        </is>
      </c>
      <c r="C37" s="26" t="inlineStr">
        <is>
          <t>JADHAV SHUBHAM T.</t>
        </is>
      </c>
      <c r="E37" s="8" t="n">
        <v>2</v>
      </c>
      <c r="F37" s="8" t="n">
        <v>0</v>
      </c>
      <c r="G37" s="8" t="n">
        <v>0</v>
      </c>
      <c r="H37" s="8" t="n">
        <v>0</v>
      </c>
      <c r="I37" s="8" t="n">
        <v>0</v>
      </c>
      <c r="J37" s="8" t="n">
        <v>0</v>
      </c>
      <c r="K37" s="8" t="n">
        <v>0</v>
      </c>
      <c r="L37" s="8" t="n">
        <v>1</v>
      </c>
      <c r="M37" s="8" t="n">
        <v>0</v>
      </c>
      <c r="N37" s="8" t="n">
        <v>0</v>
      </c>
      <c r="O37" s="8" t="n">
        <v>0</v>
      </c>
      <c r="P37" s="8" t="n">
        <v>0</v>
      </c>
      <c r="Q37" s="8" t="n">
        <v>1</v>
      </c>
      <c r="R37" s="8" t="n">
        <v>0</v>
      </c>
      <c r="S37" s="8" t="n">
        <v>4</v>
      </c>
    </row>
    <row r="38">
      <c r="A38" s="14" t="inlineStr">
        <is>
          <t>23611780195</t>
        </is>
      </c>
      <c r="B38" s="14" t="inlineStr">
        <is>
          <t>25</t>
        </is>
      </c>
      <c r="C38" s="26" t="inlineStr">
        <is>
          <t>PAWAR KARANSING J.</t>
        </is>
      </c>
      <c r="E38" s="8" t="n">
        <v>2</v>
      </c>
      <c r="F38" s="8" t="n">
        <v>2</v>
      </c>
      <c r="G38" s="8" t="n">
        <v>2</v>
      </c>
      <c r="H38" s="8" t="n">
        <v>0</v>
      </c>
      <c r="I38" s="8" t="n">
        <v>0</v>
      </c>
      <c r="J38" s="8" t="n">
        <v>2</v>
      </c>
      <c r="K38" s="8" t="n">
        <v>2</v>
      </c>
      <c r="L38" s="8" t="n">
        <v>4</v>
      </c>
      <c r="M38" s="8" t="n">
        <v>0</v>
      </c>
      <c r="N38" s="8" t="n">
        <v>0</v>
      </c>
      <c r="O38" s="8" t="n">
        <v>3</v>
      </c>
      <c r="P38" s="8" t="n">
        <v>4</v>
      </c>
      <c r="Q38" s="8" t="n">
        <v>3</v>
      </c>
      <c r="R38" s="8" t="n">
        <v>4</v>
      </c>
      <c r="S38" s="8" t="n">
        <v>28</v>
      </c>
    </row>
    <row r="39">
      <c r="A39" s="14" t="inlineStr">
        <is>
          <t>23611780196</t>
        </is>
      </c>
      <c r="B39" s="14" t="inlineStr">
        <is>
          <t>26</t>
        </is>
      </c>
      <c r="C39" s="26" t="inlineStr">
        <is>
          <t>GADHARI KIRTI DATTU</t>
        </is>
      </c>
      <c r="E39" s="8" t="n">
        <v>2</v>
      </c>
      <c r="F39" s="8" t="n">
        <v>2</v>
      </c>
      <c r="G39" s="8" t="n">
        <v>2</v>
      </c>
      <c r="H39" s="8" t="n">
        <v>0</v>
      </c>
      <c r="I39" s="8" t="n">
        <v>0</v>
      </c>
      <c r="J39" s="8" t="n">
        <v>2</v>
      </c>
      <c r="K39" s="8" t="n">
        <v>0</v>
      </c>
      <c r="L39" s="8" t="n">
        <v>2</v>
      </c>
      <c r="M39" s="8" t="n">
        <v>0</v>
      </c>
      <c r="N39" s="8" t="n">
        <v>0</v>
      </c>
      <c r="O39" s="8" t="n">
        <v>0</v>
      </c>
      <c r="P39" s="8" t="n">
        <v>0</v>
      </c>
      <c r="Q39" s="8" t="n">
        <v>4</v>
      </c>
      <c r="R39" s="8" t="n">
        <v>2</v>
      </c>
      <c r="S39" s="8" t="n">
        <v>16</v>
      </c>
    </row>
    <row r="40">
      <c r="A40" s="14" t="inlineStr">
        <is>
          <t>23611780197</t>
        </is>
      </c>
      <c r="B40" s="14" t="inlineStr">
        <is>
          <t>27</t>
        </is>
      </c>
      <c r="C40" s="26" t="inlineStr">
        <is>
          <t>MORE ADITYA SANJAY</t>
        </is>
      </c>
      <c r="E40" s="8" t="n">
        <v>2</v>
      </c>
      <c r="F40" s="8" t="n">
        <v>2</v>
      </c>
      <c r="G40" s="8" t="n">
        <v>0</v>
      </c>
      <c r="H40" s="8" t="n">
        <v>2</v>
      </c>
      <c r="I40" s="8" t="n">
        <v>0</v>
      </c>
      <c r="J40" s="8" t="n">
        <v>2</v>
      </c>
      <c r="K40" s="8" t="n">
        <v>2</v>
      </c>
      <c r="L40" s="8" t="n">
        <v>4</v>
      </c>
      <c r="M40" s="8" t="n">
        <v>4</v>
      </c>
      <c r="N40" s="8" t="n">
        <v>4</v>
      </c>
      <c r="O40" s="8" t="n">
        <v>4</v>
      </c>
      <c r="P40" s="8" t="n">
        <v>3</v>
      </c>
      <c r="Q40" s="8" t="n">
        <v>0</v>
      </c>
      <c r="R40" s="8" t="n">
        <v>0</v>
      </c>
      <c r="S40" s="8" t="n">
        <v>29</v>
      </c>
    </row>
    <row r="41">
      <c r="A41" s="14" t="inlineStr">
        <is>
          <t>23611780198</t>
        </is>
      </c>
      <c r="B41" s="14" t="inlineStr">
        <is>
          <t>28</t>
        </is>
      </c>
      <c r="C41" s="26" t="inlineStr">
        <is>
          <t>DHIVARE BHAVESH GAUTAM</t>
        </is>
      </c>
      <c r="E41" s="8" t="n">
        <v>2</v>
      </c>
      <c r="F41" s="8" t="n">
        <v>2</v>
      </c>
      <c r="G41" s="8" t="n">
        <v>1</v>
      </c>
      <c r="H41" s="8" t="n">
        <v>0</v>
      </c>
      <c r="I41" s="8" t="n">
        <v>0</v>
      </c>
      <c r="J41" s="8" t="n">
        <v>2</v>
      </c>
      <c r="K41" s="8" t="n">
        <v>0</v>
      </c>
      <c r="L41" s="8" t="n">
        <v>0</v>
      </c>
      <c r="M41" s="8" t="n">
        <v>4</v>
      </c>
      <c r="N41" s="8" t="n">
        <v>3</v>
      </c>
      <c r="O41" s="8" t="n">
        <v>3</v>
      </c>
      <c r="P41" s="8" t="n">
        <v>0</v>
      </c>
      <c r="Q41" s="8" t="n">
        <v>4</v>
      </c>
      <c r="R41" s="8" t="n">
        <v>2</v>
      </c>
      <c r="S41" s="8" t="n">
        <v>23</v>
      </c>
    </row>
    <row r="42">
      <c r="A42" s="14" t="inlineStr">
        <is>
          <t>23611780199</t>
        </is>
      </c>
      <c r="B42" s="14" t="inlineStr">
        <is>
          <t>29</t>
        </is>
      </c>
      <c r="C42" s="26" t="inlineStr">
        <is>
          <t>SAMUDRE PRATIK RAJENDRA</t>
        </is>
      </c>
      <c r="E42" s="8" t="n">
        <v>2</v>
      </c>
      <c r="F42" s="8" t="n">
        <v>2</v>
      </c>
      <c r="G42" s="8" t="n">
        <v>2</v>
      </c>
      <c r="H42" s="8" t="n">
        <v>2</v>
      </c>
      <c r="I42" s="8" t="n">
        <v>2</v>
      </c>
      <c r="J42" s="8" t="n">
        <v>0</v>
      </c>
      <c r="K42" s="8" t="n">
        <v>0</v>
      </c>
      <c r="L42" s="8" t="n">
        <v>4</v>
      </c>
      <c r="M42" s="8" t="n">
        <v>0</v>
      </c>
      <c r="N42" s="8" t="n">
        <v>0</v>
      </c>
      <c r="O42" s="8" t="n">
        <v>0</v>
      </c>
      <c r="P42" s="8" t="n">
        <v>0</v>
      </c>
      <c r="Q42" s="8" t="n">
        <v>1</v>
      </c>
      <c r="R42" s="8" t="n">
        <v>1</v>
      </c>
      <c r="S42" s="8" t="n">
        <v>16</v>
      </c>
    </row>
    <row r="43">
      <c r="A43" s="14" t="inlineStr">
        <is>
          <t>23611780200</t>
        </is>
      </c>
      <c r="B43" s="14" t="inlineStr">
        <is>
          <t>30</t>
        </is>
      </c>
      <c r="C43" s="26" t="inlineStr">
        <is>
          <t>AHIRRAO MANASWI ANIL</t>
        </is>
      </c>
      <c r="E43" s="8" t="n">
        <v>2</v>
      </c>
      <c r="F43" s="8" t="n">
        <v>0</v>
      </c>
      <c r="G43" s="8" t="n">
        <v>2</v>
      </c>
      <c r="H43" s="8" t="n">
        <v>0</v>
      </c>
      <c r="I43" s="8" t="n">
        <v>2</v>
      </c>
      <c r="J43" s="8" t="n">
        <v>2</v>
      </c>
      <c r="K43" s="8" t="n">
        <v>2</v>
      </c>
      <c r="L43" s="8" t="n">
        <v>4</v>
      </c>
      <c r="M43" s="8" t="n">
        <v>0</v>
      </c>
      <c r="N43" s="8" t="n">
        <v>0</v>
      </c>
      <c r="O43" s="8" t="n">
        <v>3</v>
      </c>
      <c r="P43" s="8" t="n">
        <v>4</v>
      </c>
      <c r="Q43" s="8" t="n">
        <v>4</v>
      </c>
      <c r="R43" s="8" t="n">
        <v>4</v>
      </c>
      <c r="S43" s="8" t="n">
        <v>29</v>
      </c>
    </row>
    <row r="44">
      <c r="A44" s="14" t="inlineStr">
        <is>
          <t>23611780201</t>
        </is>
      </c>
      <c r="B44" s="14" t="inlineStr">
        <is>
          <t>31</t>
        </is>
      </c>
      <c r="C44" s="26" t="inlineStr">
        <is>
          <t>MORE SWAPNIL SATISH</t>
        </is>
      </c>
      <c r="E44" s="8" t="n">
        <v>2</v>
      </c>
      <c r="F44" s="8" t="n">
        <v>0</v>
      </c>
      <c r="G44" s="8" t="n">
        <v>2</v>
      </c>
      <c r="H44" s="8" t="n">
        <v>0</v>
      </c>
      <c r="I44" s="8" t="n">
        <v>2</v>
      </c>
      <c r="J44" s="8" t="n">
        <v>2</v>
      </c>
      <c r="K44" s="8" t="n">
        <v>2</v>
      </c>
      <c r="L44" s="8" t="n">
        <v>3</v>
      </c>
      <c r="M44" s="8" t="n">
        <v>0</v>
      </c>
      <c r="N44" s="8" t="n">
        <v>4</v>
      </c>
      <c r="O44" s="8" t="n">
        <v>4</v>
      </c>
      <c r="P44" s="8" t="n">
        <v>0</v>
      </c>
      <c r="Q44" s="8" t="n">
        <v>4</v>
      </c>
      <c r="R44" s="8" t="n">
        <v>2</v>
      </c>
      <c r="S44" s="8" t="n">
        <v>27</v>
      </c>
    </row>
    <row r="45">
      <c r="A45" s="14" t="inlineStr">
        <is>
          <t>23611780202</t>
        </is>
      </c>
      <c r="B45" s="14" t="inlineStr">
        <is>
          <t>32</t>
        </is>
      </c>
      <c r="C45" s="26" t="inlineStr">
        <is>
          <t>RAUTMALE CHETAN SURESH</t>
        </is>
      </c>
      <c r="E45" s="8" t="n">
        <v>2</v>
      </c>
      <c r="F45" s="8" t="n">
        <v>2</v>
      </c>
      <c r="G45" s="8" t="n">
        <v>2</v>
      </c>
      <c r="H45" s="8" t="n">
        <v>0</v>
      </c>
      <c r="I45" s="8" t="n">
        <v>0</v>
      </c>
      <c r="J45" s="8" t="n">
        <v>2</v>
      </c>
      <c r="K45" s="8" t="n">
        <v>2</v>
      </c>
      <c r="L45" s="8" t="n">
        <v>1</v>
      </c>
      <c r="M45" s="8" t="n">
        <v>1</v>
      </c>
      <c r="N45" s="8" t="n">
        <v>0</v>
      </c>
      <c r="O45" s="8" t="n">
        <v>3</v>
      </c>
      <c r="P45" s="8" t="n">
        <v>0</v>
      </c>
      <c r="Q45" s="8" t="n">
        <v>4</v>
      </c>
      <c r="R45" s="8" t="n">
        <v>4</v>
      </c>
      <c r="S45" s="8" t="n">
        <v>23</v>
      </c>
    </row>
    <row r="46">
      <c r="A46" s="14" t="inlineStr">
        <is>
          <t>23611780203</t>
        </is>
      </c>
      <c r="B46" s="14" t="inlineStr">
        <is>
          <t>33</t>
        </is>
      </c>
      <c r="C46" s="26" t="inlineStr">
        <is>
          <t>SALVE SOHAM GAJANAN</t>
        </is>
      </c>
      <c r="E46" s="8" t="n">
        <v>1</v>
      </c>
      <c r="F46" s="8" t="n">
        <v>2</v>
      </c>
      <c r="G46" s="8" t="n">
        <v>0</v>
      </c>
      <c r="H46" s="8" t="n">
        <v>0</v>
      </c>
      <c r="I46" s="8" t="n">
        <v>2</v>
      </c>
      <c r="J46" s="8" t="n">
        <v>2</v>
      </c>
      <c r="K46" s="8" t="n">
        <v>2</v>
      </c>
      <c r="L46" s="8" t="n">
        <v>0</v>
      </c>
      <c r="M46" s="8" t="n">
        <v>4</v>
      </c>
      <c r="N46" s="8" t="n">
        <v>0</v>
      </c>
      <c r="O46" s="8" t="n">
        <v>4</v>
      </c>
      <c r="P46" s="8" t="n">
        <v>4</v>
      </c>
      <c r="Q46" s="8" t="n">
        <v>4</v>
      </c>
      <c r="R46" s="8" t="n">
        <v>4</v>
      </c>
      <c r="S46" s="8" t="n">
        <v>29</v>
      </c>
    </row>
    <row r="47">
      <c r="A47" s="14" t="inlineStr">
        <is>
          <t>23611780204</t>
        </is>
      </c>
      <c r="B47" s="14" t="inlineStr">
        <is>
          <t>34</t>
        </is>
      </c>
      <c r="C47" s="26" t="inlineStr">
        <is>
          <t>GHODSARE ROSHAN ARUN</t>
        </is>
      </c>
      <c r="E47" s="8" t="n">
        <v>2</v>
      </c>
      <c r="F47" s="8" t="n">
        <v>2</v>
      </c>
      <c r="G47" s="8" t="n">
        <v>2</v>
      </c>
      <c r="H47" s="8" t="n">
        <v>0</v>
      </c>
      <c r="I47" s="8" t="n">
        <v>0</v>
      </c>
      <c r="J47" s="8" t="n">
        <v>2</v>
      </c>
      <c r="K47" s="8" t="n">
        <v>2</v>
      </c>
      <c r="L47" s="8" t="n">
        <v>4</v>
      </c>
      <c r="M47" s="8" t="n">
        <v>4</v>
      </c>
      <c r="N47" s="8" t="n">
        <v>0</v>
      </c>
      <c r="O47" s="8" t="n">
        <v>0</v>
      </c>
      <c r="P47" s="8" t="n">
        <v>4</v>
      </c>
      <c r="Q47" s="8" t="n">
        <v>4</v>
      </c>
      <c r="R47" s="8" t="n">
        <v>4</v>
      </c>
      <c r="S47" s="8" t="n">
        <v>30</v>
      </c>
    </row>
    <row r="48">
      <c r="A48" s="14" t="inlineStr">
        <is>
          <t>23611780205</t>
        </is>
      </c>
      <c r="B48" s="14" t="inlineStr">
        <is>
          <t>35</t>
        </is>
      </c>
      <c r="C48" s="26" t="inlineStr">
        <is>
          <t>AHIRE CHARUDATTA SUBHASH</t>
        </is>
      </c>
      <c r="E48" s="8" t="n">
        <v>2</v>
      </c>
      <c r="F48" s="8" t="n">
        <v>2</v>
      </c>
      <c r="G48" s="8" t="n">
        <v>2</v>
      </c>
      <c r="H48" s="8" t="n">
        <v>2</v>
      </c>
      <c r="I48" s="8" t="n">
        <v>0</v>
      </c>
      <c r="J48" s="8" t="n">
        <v>0</v>
      </c>
      <c r="K48" s="8" t="n">
        <v>2</v>
      </c>
      <c r="L48" s="8" t="n">
        <v>3</v>
      </c>
      <c r="M48" s="8" t="n">
        <v>4</v>
      </c>
      <c r="N48" s="8" t="n">
        <v>0</v>
      </c>
      <c r="O48" s="8" t="n">
        <v>0</v>
      </c>
      <c r="P48" s="8" t="n">
        <v>4</v>
      </c>
      <c r="Q48" s="8" t="n">
        <v>4</v>
      </c>
      <c r="R48" s="8" t="n">
        <v>4</v>
      </c>
      <c r="S48" s="8" t="n">
        <v>29</v>
      </c>
    </row>
    <row r="49">
      <c r="A49" s="14" t="inlineStr">
        <is>
          <t>23611780206</t>
        </is>
      </c>
      <c r="B49" s="14" t="inlineStr">
        <is>
          <t>36</t>
        </is>
      </c>
      <c r="C49" s="26" t="inlineStr">
        <is>
          <t>BANKAR VISHAKHA RANJEET</t>
        </is>
      </c>
      <c r="E49" s="8" t="n">
        <v>1</v>
      </c>
      <c r="F49" s="8" t="n">
        <v>2</v>
      </c>
      <c r="G49" s="8" t="n">
        <v>0</v>
      </c>
      <c r="H49" s="8" t="n">
        <v>0</v>
      </c>
      <c r="I49" s="8" t="n">
        <v>2</v>
      </c>
      <c r="J49" s="8" t="n">
        <v>2</v>
      </c>
      <c r="K49" s="8" t="n">
        <v>2</v>
      </c>
      <c r="L49" s="8" t="n">
        <v>4</v>
      </c>
      <c r="M49" s="8" t="n">
        <v>4</v>
      </c>
      <c r="N49" s="8" t="n">
        <v>2</v>
      </c>
      <c r="O49" s="8" t="n">
        <v>2</v>
      </c>
      <c r="P49" s="8" t="n">
        <v>0</v>
      </c>
      <c r="Q49" s="8" t="n">
        <v>0</v>
      </c>
      <c r="R49" s="8" t="n">
        <v>4</v>
      </c>
      <c r="S49" s="8" t="n">
        <v>25</v>
      </c>
    </row>
    <row r="50">
      <c r="A50" s="14" t="inlineStr">
        <is>
          <t>23611780207</t>
        </is>
      </c>
      <c r="B50" s="14" t="inlineStr">
        <is>
          <t>37</t>
        </is>
      </c>
      <c r="C50" s="26" t="inlineStr">
        <is>
          <t>PAWAR POOJA RESHMABAI</t>
        </is>
      </c>
      <c r="E50" s="8" t="n">
        <v>1</v>
      </c>
      <c r="F50" s="8" t="n">
        <v>0</v>
      </c>
      <c r="G50" s="8" t="n">
        <v>0</v>
      </c>
      <c r="H50" s="8" t="n">
        <v>2</v>
      </c>
      <c r="I50" s="8" t="n">
        <v>2</v>
      </c>
      <c r="J50" s="8" t="n">
        <v>2</v>
      </c>
      <c r="K50" s="8" t="n">
        <v>2</v>
      </c>
      <c r="L50" s="8" t="n">
        <v>4</v>
      </c>
      <c r="M50" s="8" t="n">
        <v>4</v>
      </c>
      <c r="N50" s="8" t="n">
        <v>4</v>
      </c>
      <c r="O50" s="8" t="n">
        <v>4</v>
      </c>
      <c r="P50" s="8" t="n">
        <v>4</v>
      </c>
      <c r="Q50" s="8" t="n">
        <v>0</v>
      </c>
      <c r="R50" s="8" t="n">
        <v>0</v>
      </c>
      <c r="S50" s="8" t="n">
        <v>29</v>
      </c>
    </row>
    <row r="51">
      <c r="A51" s="14" t="inlineStr">
        <is>
          <t>23611780208</t>
        </is>
      </c>
      <c r="B51" s="14" t="inlineStr">
        <is>
          <t>38</t>
        </is>
      </c>
      <c r="C51" s="26" t="inlineStr">
        <is>
          <t>SAINDANE SEJAL PANKAJ</t>
        </is>
      </c>
      <c r="E51" s="8" t="n">
        <v>0</v>
      </c>
      <c r="F51" s="8" t="n">
        <v>1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0</v>
      </c>
      <c r="L51" s="8" t="n">
        <v>4</v>
      </c>
      <c r="M51" s="8" t="n">
        <v>0</v>
      </c>
      <c r="N51" s="8" t="n">
        <v>4</v>
      </c>
      <c r="O51" s="8" t="n">
        <v>4</v>
      </c>
      <c r="P51" s="8" t="n">
        <v>0</v>
      </c>
      <c r="Q51" s="8" t="n">
        <v>4</v>
      </c>
      <c r="R51" s="8" t="n">
        <v>4</v>
      </c>
      <c r="S51" s="8" t="n">
        <v>21</v>
      </c>
    </row>
    <row r="52">
      <c r="A52" s="14" t="inlineStr">
        <is>
          <t>23611780209</t>
        </is>
      </c>
      <c r="B52" s="14" t="inlineStr">
        <is>
          <t>39</t>
        </is>
      </c>
      <c r="C52" s="26" t="inlineStr">
        <is>
          <t>KARTULE ABHAY KALU</t>
        </is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2</v>
      </c>
      <c r="K52" s="8" t="n">
        <v>0</v>
      </c>
      <c r="L52" s="8" t="n">
        <v>0</v>
      </c>
      <c r="M52" s="8" t="n">
        <v>0</v>
      </c>
      <c r="N52" s="8" t="n">
        <v>1</v>
      </c>
      <c r="O52" s="8" t="n">
        <v>1</v>
      </c>
      <c r="P52" s="8" t="n">
        <v>0</v>
      </c>
      <c r="Q52" s="8" t="n">
        <v>4</v>
      </c>
      <c r="R52" s="8" t="n">
        <v>3</v>
      </c>
      <c r="S52" s="8" t="n">
        <v>11</v>
      </c>
    </row>
    <row r="53">
      <c r="A53" s="14" t="inlineStr">
        <is>
          <t>23611780210</t>
        </is>
      </c>
      <c r="B53" s="14" t="inlineStr">
        <is>
          <t>40</t>
        </is>
      </c>
      <c r="C53" s="26" t="inlineStr">
        <is>
          <t>SAPKAL SOMESH MANOHAR</t>
        </is>
      </c>
      <c r="E53" s="8" t="n">
        <v>2</v>
      </c>
      <c r="F53" s="8" t="n">
        <v>2</v>
      </c>
      <c r="G53" s="8" t="n">
        <v>2</v>
      </c>
      <c r="H53" s="8" t="n">
        <v>0</v>
      </c>
      <c r="I53" s="8" t="n">
        <v>0</v>
      </c>
      <c r="J53" s="8" t="n">
        <v>2</v>
      </c>
      <c r="K53" s="8" t="n">
        <v>2</v>
      </c>
      <c r="L53" s="8" t="n">
        <v>4</v>
      </c>
      <c r="M53" s="8" t="n">
        <v>4</v>
      </c>
      <c r="N53" s="8" t="n">
        <v>3</v>
      </c>
      <c r="O53" s="8" t="n">
        <v>0</v>
      </c>
      <c r="P53" s="8" t="n">
        <v>0</v>
      </c>
      <c r="Q53" s="8" t="n">
        <v>4</v>
      </c>
      <c r="R53" s="8" t="n">
        <v>4</v>
      </c>
      <c r="S53" s="8" t="n">
        <v>29</v>
      </c>
    </row>
    <row r="54">
      <c r="A54" s="14" t="inlineStr">
        <is>
          <t>23611780211</t>
        </is>
      </c>
      <c r="B54" s="14" t="inlineStr">
        <is>
          <t>41</t>
        </is>
      </c>
      <c r="C54" s="26" t="inlineStr">
        <is>
          <t>MANDWADE CHAITANYA VIJAY</t>
        </is>
      </c>
      <c r="E54" s="8" t="n">
        <v>2</v>
      </c>
      <c r="F54" s="8" t="n">
        <v>2</v>
      </c>
      <c r="G54" s="8" t="n">
        <v>2</v>
      </c>
      <c r="H54" s="8" t="n">
        <v>2</v>
      </c>
      <c r="I54" s="8" t="n">
        <v>2</v>
      </c>
      <c r="J54" s="8" t="n">
        <v>0</v>
      </c>
      <c r="K54" s="8" t="n">
        <v>0</v>
      </c>
      <c r="L54" s="8" t="n">
        <v>2</v>
      </c>
      <c r="M54" s="8" t="n">
        <v>4</v>
      </c>
      <c r="N54" s="8" t="n">
        <v>4</v>
      </c>
      <c r="O54" s="8" t="n">
        <v>0</v>
      </c>
      <c r="P54" s="8" t="n">
        <v>4</v>
      </c>
      <c r="Q54" s="8" t="n">
        <v>0</v>
      </c>
      <c r="R54" s="8" t="n">
        <v>4</v>
      </c>
      <c r="S54" s="8" t="n">
        <v>28</v>
      </c>
    </row>
    <row r="55">
      <c r="A55" s="14" t="inlineStr">
        <is>
          <t>23611780212</t>
        </is>
      </c>
      <c r="B55" s="14" t="inlineStr">
        <is>
          <t>42</t>
        </is>
      </c>
      <c r="C55" s="26" t="inlineStr">
        <is>
          <t>SURYAWANSHI PRATIK M.</t>
        </is>
      </c>
      <c r="E55" s="8" t="n">
        <v>2</v>
      </c>
      <c r="F55" s="8" t="n">
        <v>2</v>
      </c>
      <c r="G55" s="8" t="n">
        <v>2</v>
      </c>
      <c r="H55" s="8" t="n">
        <v>0</v>
      </c>
      <c r="I55" s="8" t="n">
        <v>0</v>
      </c>
      <c r="J55" s="8" t="n">
        <v>2</v>
      </c>
      <c r="K55" s="8" t="n">
        <v>2</v>
      </c>
      <c r="L55" s="8" t="n">
        <v>3</v>
      </c>
      <c r="M55" s="8" t="n">
        <v>0</v>
      </c>
      <c r="N55" s="8" t="n">
        <v>0</v>
      </c>
      <c r="O55" s="8" t="n">
        <v>4</v>
      </c>
      <c r="P55" s="8" t="n">
        <v>4</v>
      </c>
      <c r="Q55" s="8" t="n">
        <v>4</v>
      </c>
      <c r="R55" s="8" t="n">
        <v>4</v>
      </c>
      <c r="S55" s="8" t="n">
        <v>29</v>
      </c>
    </row>
    <row r="56">
      <c r="A56" s="14" t="inlineStr">
        <is>
          <t>23611780213</t>
        </is>
      </c>
      <c r="B56" s="14" t="inlineStr">
        <is>
          <t>43</t>
        </is>
      </c>
      <c r="C56" s="26" t="inlineStr">
        <is>
          <t>GUJARE AMBIKA SHANTARAM</t>
        </is>
      </c>
      <c r="E56" s="8" t="n">
        <v>2</v>
      </c>
      <c r="F56" s="8" t="n">
        <v>2</v>
      </c>
      <c r="G56" s="8" t="n">
        <v>1</v>
      </c>
      <c r="H56" s="8" t="n">
        <v>0</v>
      </c>
      <c r="I56" s="8" t="n">
        <v>0</v>
      </c>
      <c r="J56" s="8" t="n">
        <v>2</v>
      </c>
      <c r="K56" s="8" t="n">
        <v>1</v>
      </c>
      <c r="L56" s="8" t="n">
        <v>4</v>
      </c>
      <c r="M56" s="8" t="n">
        <v>3</v>
      </c>
      <c r="N56" s="8" t="n">
        <v>0</v>
      </c>
      <c r="O56" s="8" t="n">
        <v>4</v>
      </c>
      <c r="P56" s="8" t="n">
        <v>0</v>
      </c>
      <c r="Q56" s="8" t="n">
        <v>4</v>
      </c>
      <c r="R56" s="8" t="n">
        <v>4</v>
      </c>
      <c r="S56" s="8" t="n">
        <v>27</v>
      </c>
    </row>
    <row r="57">
      <c r="A57" s="14" t="inlineStr">
        <is>
          <t>23611780214</t>
        </is>
      </c>
      <c r="B57" s="14" t="inlineStr">
        <is>
          <t>44</t>
        </is>
      </c>
      <c r="C57" s="26" t="inlineStr">
        <is>
          <t>KARPE PAYAL PRAVIN</t>
        </is>
      </c>
      <c r="E57" s="8" t="n">
        <v>2</v>
      </c>
      <c r="F57" s="8" t="n">
        <v>2</v>
      </c>
      <c r="G57" s="8" t="n">
        <v>2</v>
      </c>
      <c r="H57" s="8" t="n">
        <v>0</v>
      </c>
      <c r="I57" s="8" t="n">
        <v>2</v>
      </c>
      <c r="J57" s="8" t="n">
        <v>2</v>
      </c>
      <c r="K57" s="8" t="n">
        <v>0</v>
      </c>
      <c r="L57" s="8" t="n">
        <v>4</v>
      </c>
      <c r="M57" s="8" t="n">
        <v>3</v>
      </c>
      <c r="N57" s="8" t="n">
        <v>0</v>
      </c>
      <c r="O57" s="8" t="n">
        <v>4</v>
      </c>
      <c r="P57" s="8" t="n">
        <v>4</v>
      </c>
      <c r="Q57" s="8" t="n">
        <v>0</v>
      </c>
      <c r="R57" s="8" t="n">
        <v>0</v>
      </c>
      <c r="S57" s="8" t="n">
        <v>25</v>
      </c>
    </row>
    <row r="58">
      <c r="A58" s="14" t="inlineStr">
        <is>
          <t>23611780215</t>
        </is>
      </c>
      <c r="B58" s="14" t="inlineStr">
        <is>
          <t>45</t>
        </is>
      </c>
      <c r="C58" s="26" t="inlineStr">
        <is>
          <t>AHER ANIKET LAXMAN</t>
        </is>
      </c>
      <c r="E58" s="8" t="n">
        <v>2</v>
      </c>
      <c r="F58" s="8" t="n">
        <v>2</v>
      </c>
      <c r="G58" s="8" t="n">
        <v>1</v>
      </c>
      <c r="H58" s="8" t="n">
        <v>0</v>
      </c>
      <c r="I58" s="8" t="n">
        <v>0</v>
      </c>
      <c r="J58" s="8" t="n">
        <v>2</v>
      </c>
      <c r="K58" s="8" t="n">
        <v>2</v>
      </c>
      <c r="L58" s="8" t="n">
        <v>3</v>
      </c>
      <c r="M58" s="8" t="n">
        <v>0</v>
      </c>
      <c r="N58" s="8" t="n">
        <v>0</v>
      </c>
      <c r="O58" s="8" t="n">
        <v>3</v>
      </c>
      <c r="P58" s="8" t="n">
        <v>0</v>
      </c>
      <c r="Q58" s="8" t="n">
        <v>4</v>
      </c>
      <c r="R58" s="8" t="n">
        <v>4</v>
      </c>
      <c r="S58" s="8" t="n">
        <v>23</v>
      </c>
    </row>
    <row r="59">
      <c r="A59" s="14" t="inlineStr">
        <is>
          <t>23611780216</t>
        </is>
      </c>
      <c r="B59" s="14" t="inlineStr">
        <is>
          <t>46</t>
        </is>
      </c>
      <c r="C59" s="26" t="inlineStr">
        <is>
          <t>PATIL ATHARVA RAJENDRA</t>
        </is>
      </c>
      <c r="E59" s="8" t="n">
        <v>2</v>
      </c>
      <c r="F59" s="8" t="n">
        <v>0</v>
      </c>
      <c r="G59" s="8" t="n">
        <v>2</v>
      </c>
      <c r="H59" s="8" t="n">
        <v>0</v>
      </c>
      <c r="I59" s="8" t="n">
        <v>2</v>
      </c>
      <c r="J59" s="8" t="n">
        <v>0</v>
      </c>
      <c r="K59" s="8" t="n">
        <v>0</v>
      </c>
      <c r="L59" s="8" t="n">
        <v>0</v>
      </c>
      <c r="M59" s="8" t="n">
        <v>4</v>
      </c>
      <c r="N59" s="8" t="n">
        <v>1</v>
      </c>
      <c r="O59" s="8" t="n">
        <v>4</v>
      </c>
      <c r="P59" s="8" t="n">
        <v>4</v>
      </c>
      <c r="Q59" s="8" t="n">
        <v>0</v>
      </c>
      <c r="R59" s="8" t="n">
        <v>4</v>
      </c>
      <c r="S59" s="8" t="n">
        <v>23</v>
      </c>
    </row>
    <row r="60">
      <c r="A60" s="14" t="inlineStr">
        <is>
          <t>23611780217</t>
        </is>
      </c>
      <c r="B60" s="14" t="inlineStr">
        <is>
          <t>47</t>
        </is>
      </c>
      <c r="C60" s="26" t="inlineStr">
        <is>
          <t>RAUNDAL VRUSHABH UMESH</t>
        </is>
      </c>
      <c r="E60" s="8" t="n">
        <v>2</v>
      </c>
      <c r="F60" s="8" t="n">
        <v>0</v>
      </c>
      <c r="G60" s="8" t="n">
        <v>2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4</v>
      </c>
      <c r="N60" s="8" t="n">
        <v>4</v>
      </c>
      <c r="O60" s="8" t="n">
        <v>0</v>
      </c>
      <c r="P60" s="8" t="n">
        <v>4</v>
      </c>
      <c r="Q60" s="8" t="n">
        <v>4</v>
      </c>
      <c r="R60" s="8" t="n">
        <v>3</v>
      </c>
      <c r="S60" s="8" t="n">
        <v>23</v>
      </c>
    </row>
    <row r="61">
      <c r="A61" s="14" t="inlineStr">
        <is>
          <t>23611780218</t>
        </is>
      </c>
      <c r="B61" s="14" t="inlineStr">
        <is>
          <t>48</t>
        </is>
      </c>
      <c r="C61" s="26" t="inlineStr">
        <is>
          <t>PATIL GAYATRI NAMDEO</t>
        </is>
      </c>
      <c r="E61" s="8" t="n">
        <v>0</v>
      </c>
      <c r="F61" s="8" t="n">
        <v>0</v>
      </c>
      <c r="G61" s="8" t="n">
        <v>2</v>
      </c>
      <c r="H61" s="8" t="n">
        <v>0</v>
      </c>
      <c r="I61" s="8" t="n">
        <v>0</v>
      </c>
      <c r="J61" s="8" t="n">
        <v>0</v>
      </c>
      <c r="K61" s="8" t="n">
        <v>2</v>
      </c>
      <c r="L61" s="8" t="n">
        <v>0</v>
      </c>
      <c r="M61" s="8" t="n">
        <v>0</v>
      </c>
      <c r="N61" s="8" t="n">
        <v>0</v>
      </c>
      <c r="O61" s="8" t="n">
        <v>0</v>
      </c>
      <c r="P61" s="8" t="n">
        <v>0</v>
      </c>
      <c r="Q61" s="8" t="n">
        <v>0</v>
      </c>
      <c r="R61" s="8" t="n">
        <v>4</v>
      </c>
      <c r="S61" s="8" t="n">
        <v>8</v>
      </c>
    </row>
    <row r="62">
      <c r="A62" s="14" t="inlineStr">
        <is>
          <t>23611780219</t>
        </is>
      </c>
      <c r="B62" s="14" t="inlineStr">
        <is>
          <t>49</t>
        </is>
      </c>
      <c r="C62" s="26" t="inlineStr">
        <is>
          <t>SHELAR SWARUP SADASHIV</t>
        </is>
      </c>
      <c r="E62" s="8" t="n">
        <v>2</v>
      </c>
      <c r="F62" s="8" t="n">
        <v>2</v>
      </c>
      <c r="G62" s="8" t="n">
        <v>2</v>
      </c>
      <c r="H62" s="8" t="n">
        <v>0</v>
      </c>
      <c r="I62" s="8" t="n">
        <v>2</v>
      </c>
      <c r="J62" s="8" t="n">
        <v>2</v>
      </c>
      <c r="K62" s="8" t="n">
        <v>0</v>
      </c>
      <c r="L62" s="8" t="n">
        <v>0</v>
      </c>
      <c r="M62" s="8" t="n">
        <v>0</v>
      </c>
      <c r="N62" s="8" t="n">
        <v>4</v>
      </c>
      <c r="O62" s="8" t="n">
        <v>4</v>
      </c>
      <c r="P62" s="8" t="n">
        <v>4</v>
      </c>
      <c r="Q62" s="8" t="n">
        <v>4</v>
      </c>
      <c r="R62" s="8" t="n">
        <v>4</v>
      </c>
      <c r="S62" s="8" t="n">
        <v>30</v>
      </c>
    </row>
    <row r="63">
      <c r="A63" s="14" t="inlineStr">
        <is>
          <t>23611780220</t>
        </is>
      </c>
      <c r="B63" s="14" t="inlineStr">
        <is>
          <t>50</t>
        </is>
      </c>
      <c r="C63" s="26" t="inlineStr">
        <is>
          <t>BHAGWAT SANCHIT VIJAY</t>
        </is>
      </c>
      <c r="E63" s="8" t="n">
        <v>2</v>
      </c>
      <c r="F63" s="8" t="n">
        <v>2</v>
      </c>
      <c r="G63" s="8" t="n">
        <v>0</v>
      </c>
      <c r="H63" s="8" t="n">
        <v>0</v>
      </c>
      <c r="I63" s="8" t="n">
        <v>0</v>
      </c>
      <c r="J63" s="8" t="n">
        <v>2</v>
      </c>
      <c r="K63" s="8" t="n">
        <v>0</v>
      </c>
      <c r="L63" s="8" t="n">
        <v>1</v>
      </c>
      <c r="M63" s="8" t="n">
        <v>1</v>
      </c>
      <c r="N63" s="8" t="n">
        <v>1</v>
      </c>
      <c r="O63" s="8" t="n">
        <v>0</v>
      </c>
      <c r="P63" s="8" t="n">
        <v>0</v>
      </c>
      <c r="Q63" s="8" t="n">
        <v>4</v>
      </c>
      <c r="R63" s="8" t="n">
        <v>4</v>
      </c>
      <c r="S63" s="8" t="n">
        <v>17</v>
      </c>
    </row>
    <row r="64">
      <c r="A64" s="14" t="inlineStr">
        <is>
          <t>23611780221</t>
        </is>
      </c>
      <c r="B64" s="14" t="inlineStr">
        <is>
          <t>51</t>
        </is>
      </c>
      <c r="C64" s="26" t="inlineStr">
        <is>
          <t>MALI ARYAN MANOJ</t>
        </is>
      </c>
      <c r="E64" s="8" t="n">
        <v>2</v>
      </c>
      <c r="F64" s="8" t="n">
        <v>1</v>
      </c>
      <c r="G64" s="8" t="n">
        <v>0</v>
      </c>
      <c r="H64" s="8" t="n">
        <v>0</v>
      </c>
      <c r="I64" s="8" t="n">
        <v>0</v>
      </c>
      <c r="J64" s="8" t="n">
        <v>2</v>
      </c>
      <c r="K64" s="8" t="n">
        <v>0</v>
      </c>
      <c r="L64" s="8" t="n">
        <v>1</v>
      </c>
      <c r="M64" s="8" t="n">
        <v>0</v>
      </c>
      <c r="N64" s="8" t="n">
        <v>0</v>
      </c>
      <c r="O64" s="8" t="n">
        <v>0</v>
      </c>
      <c r="P64" s="8" t="n">
        <v>3</v>
      </c>
      <c r="Q64" s="8" t="n">
        <v>4</v>
      </c>
      <c r="R64" s="8" t="n">
        <v>4</v>
      </c>
      <c r="S64" s="8" t="n">
        <v>17</v>
      </c>
    </row>
    <row r="65">
      <c r="A65" s="14" t="inlineStr">
        <is>
          <t>23611780222</t>
        </is>
      </c>
      <c r="B65" s="14" t="inlineStr">
        <is>
          <t>52</t>
        </is>
      </c>
      <c r="C65" s="26" t="inlineStr">
        <is>
          <t>PATIL SAKSHI PRAMOD</t>
        </is>
      </c>
      <c r="E65" s="8" t="n">
        <v>2</v>
      </c>
      <c r="F65" s="8" t="n">
        <v>0</v>
      </c>
      <c r="G65" s="8" t="n">
        <v>0</v>
      </c>
      <c r="H65" s="8" t="n">
        <v>1</v>
      </c>
      <c r="I65" s="8" t="n">
        <v>0</v>
      </c>
      <c r="J65" s="8" t="n">
        <v>2</v>
      </c>
      <c r="K65" s="8" t="n">
        <v>0</v>
      </c>
      <c r="L65" s="8" t="n">
        <v>3</v>
      </c>
      <c r="M65" s="8" t="n">
        <v>0</v>
      </c>
      <c r="N65" s="8" t="n">
        <v>0</v>
      </c>
      <c r="O65" s="8" t="n">
        <v>4</v>
      </c>
      <c r="P65" s="8" t="n">
        <v>3</v>
      </c>
      <c r="Q65" s="8" t="n">
        <v>4</v>
      </c>
      <c r="R65" s="8" t="n">
        <v>4</v>
      </c>
      <c r="S65" s="8" t="n">
        <v>23</v>
      </c>
    </row>
    <row r="66">
      <c r="A66" s="14" t="inlineStr">
        <is>
          <t>23611780223</t>
        </is>
      </c>
      <c r="B66" s="14" t="inlineStr">
        <is>
          <t>53</t>
        </is>
      </c>
      <c r="C66" s="26" t="inlineStr">
        <is>
          <t>WAGH ARYAN DINESH</t>
        </is>
      </c>
      <c r="E66" s="8" t="n">
        <v>2</v>
      </c>
      <c r="F66" s="8" t="n">
        <v>1</v>
      </c>
      <c r="G66" s="8" t="n">
        <v>0</v>
      </c>
      <c r="H66" s="8" t="n">
        <v>0</v>
      </c>
      <c r="I66" s="8" t="n">
        <v>0</v>
      </c>
      <c r="J66" s="8" t="n">
        <v>2</v>
      </c>
      <c r="K66" s="8" t="n">
        <v>0</v>
      </c>
      <c r="L66" s="8" t="n">
        <v>4</v>
      </c>
      <c r="M66" s="8" t="n">
        <v>2</v>
      </c>
      <c r="N66" s="8" t="n">
        <v>0</v>
      </c>
      <c r="O66" s="8" t="n">
        <v>0</v>
      </c>
      <c r="P66" s="8" t="n">
        <v>3</v>
      </c>
      <c r="Q66" s="8" t="n">
        <v>4</v>
      </c>
      <c r="R66" s="8" t="n">
        <v>4</v>
      </c>
      <c r="S66" s="8" t="n">
        <v>22</v>
      </c>
    </row>
    <row r="67">
      <c r="A67" s="14" t="inlineStr">
        <is>
          <t>23611780224</t>
        </is>
      </c>
      <c r="B67" s="14" t="inlineStr">
        <is>
          <t>54</t>
        </is>
      </c>
      <c r="C67" s="26" t="inlineStr">
        <is>
          <t>MISHRA PUSHKAR</t>
        </is>
      </c>
      <c r="E67" s="8" t="n">
        <v>2</v>
      </c>
      <c r="F67" s="8" t="n">
        <v>1</v>
      </c>
      <c r="G67" s="8" t="n">
        <v>0</v>
      </c>
      <c r="H67" s="8" t="n">
        <v>0</v>
      </c>
      <c r="I67" s="8" t="n">
        <v>0</v>
      </c>
      <c r="J67" s="8" t="n">
        <v>2</v>
      </c>
      <c r="K67" s="8" t="n">
        <v>0</v>
      </c>
      <c r="L67" s="8" t="n">
        <v>3</v>
      </c>
      <c r="M67" s="8" t="n">
        <v>2</v>
      </c>
      <c r="N67" s="8" t="n">
        <v>0</v>
      </c>
      <c r="O67" s="8" t="n">
        <v>0</v>
      </c>
      <c r="P67" s="8" t="n">
        <v>4</v>
      </c>
      <c r="Q67" s="8" t="n">
        <v>4</v>
      </c>
      <c r="R67" s="8" t="n">
        <v>4</v>
      </c>
      <c r="S67" s="8" t="n">
        <v>22</v>
      </c>
    </row>
    <row r="68">
      <c r="A68" s="14" t="inlineStr">
        <is>
          <t>23611780225</t>
        </is>
      </c>
      <c r="B68" s="14" t="inlineStr">
        <is>
          <t>55</t>
        </is>
      </c>
      <c r="C68" s="26" t="inlineStr">
        <is>
          <t>BIDVE MOHIT SUBODH</t>
        </is>
      </c>
      <c r="E68" s="8" t="n">
        <v>1</v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2</v>
      </c>
      <c r="K68" s="8" t="n">
        <v>2</v>
      </c>
      <c r="L68" s="8" t="n">
        <v>0</v>
      </c>
      <c r="M68" s="8" t="n">
        <v>2</v>
      </c>
      <c r="N68" s="8" t="n">
        <v>0</v>
      </c>
      <c r="O68" s="8" t="n">
        <v>0</v>
      </c>
      <c r="P68" s="8" t="n">
        <v>4</v>
      </c>
      <c r="Q68" s="8" t="n">
        <v>4</v>
      </c>
      <c r="R68" s="8" t="n">
        <v>0</v>
      </c>
      <c r="S68" s="8" t="n">
        <v>15</v>
      </c>
    </row>
    <row r="69">
      <c r="A69" s="14" t="inlineStr">
        <is>
          <t>23611780227</t>
        </is>
      </c>
      <c r="B69" s="14" t="inlineStr">
        <is>
          <t>56</t>
        </is>
      </c>
      <c r="C69" s="26" t="inlineStr">
        <is>
          <t>PANDIT JAYTESH J.</t>
        </is>
      </c>
      <c r="E69" s="8" t="n">
        <v>2</v>
      </c>
      <c r="F69" s="8" t="n">
        <v>2</v>
      </c>
      <c r="G69" s="8" t="n">
        <v>2</v>
      </c>
      <c r="H69" s="8" t="n">
        <v>0</v>
      </c>
      <c r="I69" s="8" t="n">
        <v>0</v>
      </c>
      <c r="J69" s="8" t="n">
        <v>2</v>
      </c>
      <c r="K69" s="8" t="n">
        <v>2</v>
      </c>
      <c r="L69" s="8" t="n">
        <v>0</v>
      </c>
      <c r="M69" s="8" t="n">
        <v>0</v>
      </c>
      <c r="N69" s="8" t="n">
        <v>0</v>
      </c>
      <c r="O69" s="8" t="n">
        <v>0</v>
      </c>
      <c r="P69" s="8" t="n">
        <v>0</v>
      </c>
      <c r="Q69" s="8" t="n">
        <v>4</v>
      </c>
      <c r="R69" s="8" t="n">
        <v>2</v>
      </c>
      <c r="S69" s="8" t="n">
        <v>16</v>
      </c>
    </row>
    <row r="70">
      <c r="A70" s="14" t="inlineStr">
        <is>
          <t>23611780228</t>
        </is>
      </c>
      <c r="B70" s="14" t="inlineStr">
        <is>
          <t>57</t>
        </is>
      </c>
      <c r="C70" s="26" t="inlineStr">
        <is>
          <t>PATEL MAHI URVISH</t>
        </is>
      </c>
      <c r="E70" s="8" t="n">
        <v>0</v>
      </c>
      <c r="F70" s="8" t="n">
        <v>0</v>
      </c>
      <c r="G70" s="8" t="n">
        <v>0</v>
      </c>
      <c r="H70" s="8" t="n">
        <v>0</v>
      </c>
      <c r="I70" s="8" t="n">
        <v>0</v>
      </c>
      <c r="J70" s="8" t="n">
        <v>2</v>
      </c>
      <c r="K70" s="8" t="n">
        <v>2</v>
      </c>
      <c r="L70" s="8" t="n">
        <v>1</v>
      </c>
      <c r="M70" s="8" t="n">
        <v>4</v>
      </c>
      <c r="N70" s="8" t="n">
        <v>0</v>
      </c>
      <c r="O70" s="8" t="n">
        <v>4</v>
      </c>
      <c r="P70" s="8" t="n">
        <v>0</v>
      </c>
      <c r="Q70" s="8" t="n">
        <v>0</v>
      </c>
      <c r="R70" s="8" t="n">
        <v>4</v>
      </c>
      <c r="S70" s="8" t="n">
        <v>17</v>
      </c>
    </row>
    <row r="71">
      <c r="A71" s="14" t="inlineStr">
        <is>
          <t>23611780230</t>
        </is>
      </c>
      <c r="B71" s="14" t="inlineStr">
        <is>
          <t>58</t>
        </is>
      </c>
      <c r="C71" s="26" t="inlineStr">
        <is>
          <t>PATIL VRUSHALI VINOD</t>
        </is>
      </c>
      <c r="E71" s="8" t="n">
        <v>2</v>
      </c>
      <c r="F71" s="8" t="n">
        <v>1</v>
      </c>
      <c r="G71" s="8" t="n">
        <v>2</v>
      </c>
      <c r="H71" s="8" t="n">
        <v>2</v>
      </c>
      <c r="I71" s="8" t="n">
        <v>0</v>
      </c>
      <c r="J71" s="8" t="n">
        <v>0</v>
      </c>
      <c r="K71" s="8" t="n">
        <v>0</v>
      </c>
      <c r="L71" s="8" t="n">
        <v>4</v>
      </c>
      <c r="M71" s="8" t="n">
        <v>0</v>
      </c>
      <c r="N71" s="8" t="n">
        <v>0</v>
      </c>
      <c r="O71" s="8" t="n">
        <v>4</v>
      </c>
      <c r="P71" s="8" t="n">
        <v>4</v>
      </c>
      <c r="Q71" s="8" t="n">
        <v>4</v>
      </c>
      <c r="R71" s="8" t="n">
        <v>4</v>
      </c>
      <c r="S71" s="8" t="n">
        <v>27</v>
      </c>
    </row>
    <row r="72">
      <c r="A72" s="14" t="inlineStr">
        <is>
          <t>23611780231</t>
        </is>
      </c>
      <c r="B72" s="14" t="inlineStr">
        <is>
          <t>59</t>
        </is>
      </c>
      <c r="C72" s="26" t="inlineStr">
        <is>
          <t>SONAWANE SOHAM SOPAN</t>
        </is>
      </c>
      <c r="E72" s="8" t="n">
        <v>1</v>
      </c>
      <c r="F72" s="8" t="n">
        <v>2</v>
      </c>
      <c r="G72" s="8" t="n">
        <v>2</v>
      </c>
      <c r="H72" s="8" t="n">
        <v>0</v>
      </c>
      <c r="I72" s="8" t="n">
        <v>0</v>
      </c>
      <c r="J72" s="8" t="n">
        <v>2</v>
      </c>
      <c r="K72" s="8" t="n">
        <v>0</v>
      </c>
      <c r="L72" s="8" t="n">
        <v>4</v>
      </c>
      <c r="M72" s="8" t="n">
        <v>3</v>
      </c>
      <c r="N72" s="8" t="n">
        <v>0</v>
      </c>
      <c r="O72" s="8" t="n">
        <v>0</v>
      </c>
      <c r="P72" s="8" t="n">
        <v>3</v>
      </c>
      <c r="Q72" s="8" t="n">
        <v>4</v>
      </c>
      <c r="R72" s="8" t="n">
        <v>4</v>
      </c>
      <c r="S72" s="8" t="n">
        <v>25</v>
      </c>
    </row>
    <row r="73">
      <c r="A73" s="14" t="inlineStr">
        <is>
          <t>23611780232</t>
        </is>
      </c>
      <c r="B73" s="14" t="inlineStr">
        <is>
          <t>60</t>
        </is>
      </c>
      <c r="C73" s="26" t="inlineStr">
        <is>
          <t>DESALE GAURI RAOSAHEB</t>
        </is>
      </c>
      <c r="E73" s="8" t="n">
        <v>1</v>
      </c>
      <c r="F73" s="8" t="n">
        <v>2</v>
      </c>
      <c r="G73" s="8" t="n">
        <v>2</v>
      </c>
      <c r="H73" s="8" t="n">
        <v>0</v>
      </c>
      <c r="I73" s="8" t="n">
        <v>1</v>
      </c>
      <c r="J73" s="8" t="n">
        <v>2</v>
      </c>
      <c r="K73" s="8" t="n">
        <v>0</v>
      </c>
      <c r="L73" s="8" t="n">
        <v>4</v>
      </c>
      <c r="M73" s="8" t="n">
        <v>0</v>
      </c>
      <c r="N73" s="8" t="n">
        <v>0</v>
      </c>
      <c r="O73" s="8" t="n">
        <v>1</v>
      </c>
      <c r="P73" s="8" t="n">
        <v>4</v>
      </c>
      <c r="Q73" s="8" t="n">
        <v>4</v>
      </c>
      <c r="R73" s="8" t="n">
        <v>4</v>
      </c>
      <c r="S73" s="8" t="n">
        <v>25</v>
      </c>
    </row>
    <row r="74">
      <c r="A74" s="14" t="inlineStr">
        <is>
          <t>23611780233</t>
        </is>
      </c>
      <c r="B74" s="14" t="inlineStr">
        <is>
          <t>61</t>
        </is>
      </c>
      <c r="C74" s="26" t="inlineStr">
        <is>
          <t>BARHATE PRANJAL MADHAV</t>
        </is>
      </c>
      <c r="E74" s="8" t="n">
        <v>2</v>
      </c>
      <c r="F74" s="8" t="n">
        <v>2</v>
      </c>
      <c r="G74" s="8" t="n">
        <v>0</v>
      </c>
      <c r="H74" s="8" t="n">
        <v>0</v>
      </c>
      <c r="I74" s="8" t="n">
        <v>0</v>
      </c>
      <c r="J74" s="8" t="n">
        <v>2</v>
      </c>
      <c r="K74" s="8" t="n">
        <v>2</v>
      </c>
      <c r="L74" s="8" t="n">
        <v>0</v>
      </c>
      <c r="M74" s="8" t="n">
        <v>0</v>
      </c>
      <c r="N74" s="8" t="n">
        <v>4</v>
      </c>
      <c r="O74" s="8" t="n">
        <v>4</v>
      </c>
      <c r="P74" s="8" t="n">
        <v>4</v>
      </c>
      <c r="Q74" s="8" t="n">
        <v>4</v>
      </c>
      <c r="R74" s="8" t="n">
        <v>4</v>
      </c>
      <c r="S74" s="8" t="n">
        <v>28</v>
      </c>
    </row>
    <row r="75">
      <c r="A75" s="14" t="inlineStr">
        <is>
          <t>23611780234</t>
        </is>
      </c>
      <c r="B75" s="14" t="inlineStr">
        <is>
          <t>62</t>
        </is>
      </c>
      <c r="C75" s="26" t="inlineStr">
        <is>
          <t>KANADE SARTHAK SUSHIL</t>
        </is>
      </c>
      <c r="E75" s="8" t="n">
        <v>2</v>
      </c>
      <c r="F75" s="8" t="n">
        <v>2</v>
      </c>
      <c r="G75" s="8" t="n">
        <v>0</v>
      </c>
      <c r="H75" s="8" t="n">
        <v>0</v>
      </c>
      <c r="I75" s="8" t="n">
        <v>2</v>
      </c>
      <c r="J75" s="8" t="n">
        <v>2</v>
      </c>
      <c r="K75" s="8" t="n">
        <v>2</v>
      </c>
      <c r="L75" s="8" t="n">
        <v>0</v>
      </c>
      <c r="M75" s="8" t="n">
        <v>4</v>
      </c>
      <c r="N75" s="8" t="n">
        <v>4</v>
      </c>
      <c r="O75" s="8" t="n">
        <v>4</v>
      </c>
      <c r="P75" s="8" t="n">
        <v>4</v>
      </c>
      <c r="Q75" s="8" t="n">
        <v>4</v>
      </c>
      <c r="R75" s="8" t="n">
        <v>0</v>
      </c>
      <c r="S75" s="8" t="n">
        <v>30</v>
      </c>
    </row>
    <row r="76">
      <c r="A76" s="14" t="inlineStr">
        <is>
          <t>23611780235</t>
        </is>
      </c>
      <c r="B76" s="14" t="inlineStr">
        <is>
          <t>63</t>
        </is>
      </c>
      <c r="C76" s="26" t="inlineStr">
        <is>
          <t>NIGAL KHUSHI DNYANESHWAR</t>
        </is>
      </c>
      <c r="E76" s="8" t="n">
        <v>2</v>
      </c>
      <c r="F76" s="8" t="n">
        <v>2</v>
      </c>
      <c r="G76" s="8" t="n">
        <v>0</v>
      </c>
      <c r="H76" s="8" t="n">
        <v>0</v>
      </c>
      <c r="I76" s="8" t="n">
        <v>2</v>
      </c>
      <c r="J76" s="8" t="n">
        <v>2</v>
      </c>
      <c r="K76" s="8" t="n">
        <v>2</v>
      </c>
      <c r="L76" s="8" t="n">
        <v>0</v>
      </c>
      <c r="M76" s="8" t="n">
        <v>4</v>
      </c>
      <c r="N76" s="8" t="n">
        <v>4</v>
      </c>
      <c r="O76" s="8" t="n">
        <v>4</v>
      </c>
      <c r="P76" s="8" t="n">
        <v>4</v>
      </c>
      <c r="Q76" s="8" t="n">
        <v>4</v>
      </c>
      <c r="R76" s="8" t="n">
        <v>0</v>
      </c>
      <c r="S76" s="8" t="n">
        <v>30</v>
      </c>
    </row>
    <row r="77">
      <c r="A77" s="14" t="inlineStr">
        <is>
          <t>23611780236</t>
        </is>
      </c>
      <c r="B77" s="14" t="inlineStr">
        <is>
          <t>64</t>
        </is>
      </c>
      <c r="C77" s="26" t="inlineStr">
        <is>
          <t>GALANKAR ARPITA SANJAY</t>
        </is>
      </c>
      <c r="E77" s="8" t="n">
        <v>2</v>
      </c>
      <c r="F77" s="8" t="n">
        <v>2</v>
      </c>
      <c r="G77" s="8" t="n">
        <v>0</v>
      </c>
      <c r="H77" s="8" t="n">
        <v>0</v>
      </c>
      <c r="I77" s="8" t="n">
        <v>2</v>
      </c>
      <c r="J77" s="8" t="n">
        <v>2</v>
      </c>
      <c r="K77" s="8" t="n">
        <v>2</v>
      </c>
      <c r="L77" s="8" t="n">
        <v>0</v>
      </c>
      <c r="M77" s="8" t="n">
        <v>4</v>
      </c>
      <c r="N77" s="8" t="n">
        <v>4</v>
      </c>
      <c r="O77" s="8" t="n">
        <v>4</v>
      </c>
      <c r="P77" s="8" t="n">
        <v>4</v>
      </c>
      <c r="Q77" s="8" t="n">
        <v>4</v>
      </c>
      <c r="R77" s="8" t="n">
        <v>0</v>
      </c>
      <c r="S77" s="8" t="n">
        <v>30</v>
      </c>
    </row>
    <row r="78">
      <c r="A78" s="14" t="inlineStr">
        <is>
          <t>23611780237</t>
        </is>
      </c>
      <c r="B78" s="14" t="inlineStr">
        <is>
          <t>65</t>
        </is>
      </c>
      <c r="C78" s="26" t="inlineStr">
        <is>
          <t>DEORE GAYATRI RAMDAS</t>
        </is>
      </c>
      <c r="E78" s="8" t="n">
        <v>2</v>
      </c>
      <c r="F78" s="8" t="n">
        <v>2</v>
      </c>
      <c r="G78" s="8" t="n">
        <v>2</v>
      </c>
      <c r="H78" s="8" t="n">
        <v>2</v>
      </c>
      <c r="I78" s="8" t="n">
        <v>2</v>
      </c>
      <c r="J78" s="8" t="n">
        <v>0</v>
      </c>
      <c r="K78" s="8" t="n">
        <v>0</v>
      </c>
      <c r="L78" s="8" t="n">
        <v>4</v>
      </c>
      <c r="M78" s="8" t="n">
        <v>4</v>
      </c>
      <c r="N78" s="8" t="n">
        <v>4</v>
      </c>
      <c r="O78" s="8" t="n">
        <v>4</v>
      </c>
      <c r="P78" s="8" t="n">
        <v>0</v>
      </c>
      <c r="Q78" s="8" t="n">
        <v>4</v>
      </c>
      <c r="R78" s="8" t="n">
        <v>0</v>
      </c>
      <c r="S78" s="8" t="n">
        <v>30</v>
      </c>
    </row>
    <row r="79">
      <c r="A79" s="14" t="inlineStr">
        <is>
          <t>24611780001</t>
        </is>
      </c>
      <c r="B79" s="14" t="inlineStr">
        <is>
          <t>66</t>
        </is>
      </c>
      <c r="C79" s="26" t="inlineStr">
        <is>
          <t>THAKARE KOMAL ATAMARAM</t>
        </is>
      </c>
      <c r="E79" s="8" t="n">
        <v>0</v>
      </c>
      <c r="F79" s="8" t="n">
        <v>0</v>
      </c>
      <c r="G79" s="8" t="n">
        <v>2</v>
      </c>
      <c r="H79" s="8" t="n">
        <v>0</v>
      </c>
      <c r="I79" s="8" t="n">
        <v>1</v>
      </c>
      <c r="J79" s="8" t="n">
        <v>0</v>
      </c>
      <c r="K79" s="8" t="n">
        <v>0</v>
      </c>
      <c r="L79" s="8" t="n">
        <v>0</v>
      </c>
      <c r="M79" s="8" t="n">
        <v>4</v>
      </c>
      <c r="N79" s="8" t="n">
        <v>0</v>
      </c>
      <c r="O79" s="8" t="n">
        <v>1</v>
      </c>
      <c r="P79" s="8" t="n">
        <v>0</v>
      </c>
      <c r="Q79" s="8" t="n">
        <v>4</v>
      </c>
      <c r="R79" s="8" t="n">
        <v>4</v>
      </c>
      <c r="S79" s="8" t="n">
        <v>16</v>
      </c>
    </row>
    <row r="80">
      <c r="A80" s="14" t="inlineStr">
        <is>
          <t>24611780002</t>
        </is>
      </c>
      <c r="B80" s="14" t="inlineStr">
        <is>
          <t>67</t>
        </is>
      </c>
      <c r="C80" s="26" t="inlineStr">
        <is>
          <t>KHARE ASHLESHA YOGESH</t>
        </is>
      </c>
      <c r="E80" s="8" t="n">
        <v>2</v>
      </c>
      <c r="F80" s="8" t="n">
        <v>2</v>
      </c>
      <c r="G80" s="8" t="n">
        <v>2</v>
      </c>
      <c r="H80" s="8" t="n">
        <v>2</v>
      </c>
      <c r="I80" s="8" t="n">
        <v>2</v>
      </c>
      <c r="J80" s="8" t="n">
        <v>0</v>
      </c>
      <c r="K80" s="8" t="n">
        <v>0</v>
      </c>
      <c r="L80" s="8" t="n">
        <v>4</v>
      </c>
      <c r="M80" s="8" t="n">
        <v>4</v>
      </c>
      <c r="N80" s="8" t="n">
        <v>4</v>
      </c>
      <c r="O80" s="8" t="n">
        <v>4</v>
      </c>
      <c r="P80" s="8" t="n">
        <v>0</v>
      </c>
      <c r="Q80" s="8" t="n">
        <v>0</v>
      </c>
      <c r="R80" s="8" t="n">
        <v>0</v>
      </c>
      <c r="S80" s="8" t="n">
        <v>26</v>
      </c>
    </row>
    <row r="81">
      <c r="A81" s="14" t="inlineStr">
        <is>
          <t>24611780003</t>
        </is>
      </c>
      <c r="B81" s="14" t="inlineStr">
        <is>
          <t>68</t>
        </is>
      </c>
      <c r="C81" s="26" t="inlineStr">
        <is>
          <t>DAWARE SAKSHI HARISHCHANDRA</t>
        </is>
      </c>
      <c r="E81" s="8" t="n">
        <v>0</v>
      </c>
      <c r="F81" s="8" t="n">
        <v>0</v>
      </c>
      <c r="G81" s="8" t="n">
        <v>0</v>
      </c>
      <c r="H81" s="8" t="n">
        <v>2</v>
      </c>
      <c r="I81" s="8" t="n">
        <v>0</v>
      </c>
      <c r="J81" s="8" t="n">
        <v>0</v>
      </c>
      <c r="K81" s="8" t="n">
        <v>2</v>
      </c>
      <c r="L81" s="8" t="n">
        <v>0</v>
      </c>
      <c r="M81" s="8" t="n">
        <v>0</v>
      </c>
      <c r="N81" s="8" t="n">
        <v>0</v>
      </c>
      <c r="O81" s="8" t="n">
        <v>0</v>
      </c>
      <c r="P81" s="8" t="n">
        <v>0</v>
      </c>
      <c r="Q81" s="8" t="n">
        <v>0</v>
      </c>
      <c r="R81" s="8" t="n">
        <v>4</v>
      </c>
      <c r="S81" s="8" t="n">
        <v>8</v>
      </c>
    </row>
    <row r="82">
      <c r="A82" s="14" t="inlineStr">
        <is>
          <t>24611780004</t>
        </is>
      </c>
      <c r="B82" s="14" t="inlineStr">
        <is>
          <t>69</t>
        </is>
      </c>
      <c r="C82" s="26" t="inlineStr">
        <is>
          <t>JADHAV YASHSWINI RAJENDRA</t>
        </is>
      </c>
      <c r="E82" s="8" t="n">
        <v>2</v>
      </c>
      <c r="F82" s="8" t="n">
        <v>0</v>
      </c>
      <c r="G82" s="8" t="n">
        <v>2</v>
      </c>
      <c r="H82" s="8" t="n">
        <v>1</v>
      </c>
      <c r="I82" s="8" t="n">
        <v>2</v>
      </c>
      <c r="J82" s="8" t="n">
        <v>0</v>
      </c>
      <c r="K82" s="8" t="n">
        <v>2</v>
      </c>
      <c r="L82" s="8" t="n">
        <v>4</v>
      </c>
      <c r="M82" s="8" t="n">
        <v>0</v>
      </c>
      <c r="N82" s="8" t="n">
        <v>2</v>
      </c>
      <c r="O82" s="8" t="n">
        <v>0</v>
      </c>
      <c r="P82" s="8" t="n">
        <v>0</v>
      </c>
      <c r="Q82" s="8" t="n">
        <v>4</v>
      </c>
      <c r="R82" s="8" t="n">
        <v>4</v>
      </c>
      <c r="S82" s="8" t="n">
        <v>23</v>
      </c>
    </row>
    <row r="83">
      <c r="A83" s="14" t="inlineStr">
        <is>
          <t>24611780005</t>
        </is>
      </c>
      <c r="B83" s="14" t="inlineStr">
        <is>
          <t>70</t>
        </is>
      </c>
      <c r="C83" s="26" t="inlineStr">
        <is>
          <t>SONAWANE ANUSHKA PANDIT</t>
        </is>
      </c>
      <c r="E83" s="8" t="n">
        <v>2</v>
      </c>
      <c r="F83" s="8" t="n">
        <v>0</v>
      </c>
      <c r="G83" s="8" t="n">
        <v>0</v>
      </c>
      <c r="H83" s="8" t="n">
        <v>2</v>
      </c>
      <c r="I83" s="8" t="n">
        <v>0</v>
      </c>
      <c r="J83" s="8" t="n">
        <v>2</v>
      </c>
      <c r="K83" s="8" t="n">
        <v>0</v>
      </c>
      <c r="L83" s="8" t="n">
        <v>0</v>
      </c>
      <c r="M83" s="8" t="n">
        <v>4</v>
      </c>
      <c r="N83" s="8" t="n">
        <v>0</v>
      </c>
      <c r="O83" s="8" t="n">
        <v>4</v>
      </c>
      <c r="P83" s="8" t="n">
        <v>0</v>
      </c>
      <c r="Q83" s="8" t="n">
        <v>0</v>
      </c>
      <c r="R83" s="8" t="n">
        <v>4</v>
      </c>
      <c r="S83" s="8" t="n">
        <v>18</v>
      </c>
    </row>
    <row r="84">
      <c r="A84" s="14" t="inlineStr">
        <is>
          <t>24611780006</t>
        </is>
      </c>
      <c r="B84" s="14" t="inlineStr">
        <is>
          <t>71</t>
        </is>
      </c>
      <c r="C84" s="26" t="inlineStr">
        <is>
          <t>WARKE SAHIL GUNWANT</t>
        </is>
      </c>
      <c r="E84" s="8" t="n">
        <v>1</v>
      </c>
      <c r="F84" s="8" t="n">
        <v>0</v>
      </c>
      <c r="G84" s="8" t="n">
        <v>0</v>
      </c>
      <c r="H84" s="8" t="n">
        <v>0</v>
      </c>
      <c r="I84" s="8" t="n">
        <v>0</v>
      </c>
      <c r="J84" s="8" t="n">
        <v>0</v>
      </c>
      <c r="K84" s="8" t="n">
        <v>0</v>
      </c>
      <c r="L84" s="8" t="n">
        <v>0</v>
      </c>
      <c r="M84" s="8" t="n">
        <v>2</v>
      </c>
      <c r="N84" s="8" t="n">
        <v>0</v>
      </c>
      <c r="O84" s="8" t="n">
        <v>3</v>
      </c>
      <c r="P84" s="8" t="n">
        <v>2</v>
      </c>
      <c r="Q84" s="8" t="n">
        <v>4</v>
      </c>
      <c r="R84" s="8" t="n">
        <v>0</v>
      </c>
      <c r="S84" s="8" t="n">
        <v>12</v>
      </c>
    </row>
    <row r="85">
      <c r="A85" s="14" t="inlineStr">
        <is>
          <t>24611780007</t>
        </is>
      </c>
      <c r="B85" s="14" t="inlineStr">
        <is>
          <t>72</t>
        </is>
      </c>
      <c r="C85" s="26" t="inlineStr">
        <is>
          <t>PAGAR DNYANESHWARI PADMAKAR</t>
        </is>
      </c>
      <c r="E85" s="8" t="n">
        <v>2</v>
      </c>
      <c r="F85" s="8" t="n">
        <v>0</v>
      </c>
      <c r="G85" s="8" t="n">
        <v>2</v>
      </c>
      <c r="H85" s="8" t="n">
        <v>0</v>
      </c>
      <c r="I85" s="8" t="n">
        <v>1</v>
      </c>
      <c r="J85" s="8" t="n">
        <v>2</v>
      </c>
      <c r="K85" s="8" t="n">
        <v>2</v>
      </c>
      <c r="L85" s="8" t="n">
        <v>4</v>
      </c>
      <c r="M85" s="8" t="n">
        <v>0</v>
      </c>
      <c r="N85" s="8" t="n">
        <v>3</v>
      </c>
      <c r="O85" s="8" t="n">
        <v>4</v>
      </c>
      <c r="P85" s="8" t="n">
        <v>2</v>
      </c>
      <c r="Q85" s="8" t="n">
        <v>4</v>
      </c>
      <c r="R85" s="8" t="n">
        <v>0</v>
      </c>
      <c r="S85" s="8" t="n">
        <v>26</v>
      </c>
    </row>
    <row r="86">
      <c r="A86" s="27" t="inlineStr">
        <is>
          <t>Average</t>
        </is>
      </c>
      <c r="E86" s="8">
        <f>IFERROR(ROUND(AVERAGE(E14:E85), 2), 0)</f>
        <v/>
      </c>
      <c r="F86" s="8">
        <f>IFERROR(ROUND(AVERAGE(F14:F85), 2), 0)</f>
        <v/>
      </c>
      <c r="G86" s="8">
        <f>IFERROR(ROUND(AVERAGE(G14:G85), 2), 0)</f>
        <v/>
      </c>
      <c r="H86" s="8">
        <f>IFERROR(ROUND(AVERAGE(H14:H85), 2), 0)</f>
        <v/>
      </c>
      <c r="I86" s="8">
        <f>IFERROR(ROUND(AVERAGE(I14:I85), 2), 0)</f>
        <v/>
      </c>
      <c r="J86" s="8">
        <f>IFERROR(ROUND(AVERAGE(J14:J85), 2), 0)</f>
        <v/>
      </c>
      <c r="K86" s="8">
        <f>IFERROR(ROUND(AVERAGE(K14:K85), 2), 0)</f>
        <v/>
      </c>
      <c r="L86" s="8">
        <f>IFERROR(ROUND(AVERAGE(L14:L85), 2), 0)</f>
        <v/>
      </c>
      <c r="M86" s="8">
        <f>IFERROR(ROUND(AVERAGE(M14:M85), 2), 0)</f>
        <v/>
      </c>
      <c r="N86" s="8">
        <f>IFERROR(ROUND(AVERAGE(N14:N85), 2), 0)</f>
        <v/>
      </c>
      <c r="O86" s="8">
        <f>IFERROR(ROUND(AVERAGE(O14:O85), 2), 0)</f>
        <v/>
      </c>
      <c r="P86" s="8">
        <f>IFERROR(ROUND(AVERAGE(P14:P85), 2), 0)</f>
        <v/>
      </c>
      <c r="Q86" s="8">
        <f>IFERROR(ROUND(AVERAGE(Q14:Q85), 2), 0)</f>
        <v/>
      </c>
      <c r="R86" s="8">
        <f>IFERROR(ROUND(AVERAGE(R14:R85), 2), 0)</f>
        <v/>
      </c>
      <c r="S86" s="28">
        <f>IFERROR(ROUND(AVERAGE(S14:S85), 2), 0)</f>
        <v/>
      </c>
    </row>
    <row r="87">
      <c r="A87" s="27" t="inlineStr">
        <is>
          <t>Total Appeared</t>
        </is>
      </c>
      <c r="E87" s="8">
        <f>COUNT(E14:E85)</f>
        <v/>
      </c>
      <c r="F87" s="8">
        <f>COUNT(F14:F85)</f>
        <v/>
      </c>
      <c r="G87" s="8">
        <f>COUNT(G14:G85)</f>
        <v/>
      </c>
      <c r="H87" s="8">
        <f>COUNT(H14:H85)</f>
        <v/>
      </c>
      <c r="I87" s="8">
        <f>COUNT(I14:I85)</f>
        <v/>
      </c>
      <c r="J87" s="8">
        <f>COUNT(J14:J85)</f>
        <v/>
      </c>
      <c r="K87" s="8">
        <f>COUNT(K14:K85)</f>
        <v/>
      </c>
      <c r="L87" s="8">
        <f>COUNT(L14:L85)</f>
        <v/>
      </c>
      <c r="M87" s="8">
        <f>COUNT(M14:M85)</f>
        <v/>
      </c>
      <c r="N87" s="8">
        <f>COUNT(N14:N85)</f>
        <v/>
      </c>
      <c r="O87" s="8">
        <f>COUNT(O14:O85)</f>
        <v/>
      </c>
      <c r="P87" s="8">
        <f>COUNT(P14:P85)</f>
        <v/>
      </c>
      <c r="Q87" s="8">
        <f>COUNT(Q14:Q85)</f>
        <v/>
      </c>
      <c r="R87" s="8">
        <f>COUNT(R14:R85)</f>
        <v/>
      </c>
      <c r="S87" s="28">
        <f>COUNT(S14:S85)</f>
        <v/>
      </c>
    </row>
    <row r="88">
      <c r="A88" s="27" t="inlineStr">
        <is>
          <t>% above Avg</t>
        </is>
      </c>
      <c r="E88" s="8">
        <f>IF(AND(COUNT(E14:E85)&gt;0, E86&gt;0), ROUND(COUNTIF(E14:E85, "&gt;="&amp;E86) / COUNT(E14:E85) * 100, 2) &amp; "%", "0%")</f>
        <v/>
      </c>
      <c r="F88" s="8">
        <f>IF(AND(COUNT(F14:F85)&gt;0, F86&gt;0), ROUND(COUNTIF(F14:F85, "&gt;="&amp;F86) / COUNT(F14:F85) * 100, 2) &amp; "%", "0%")</f>
        <v/>
      </c>
      <c r="G88" s="8">
        <f>IF(AND(COUNT(G14:G85)&gt;0, G86&gt;0), ROUND(COUNTIF(G14:G85, "&gt;="&amp;G86) / COUNT(G14:G85) * 100, 2) &amp; "%", "0%")</f>
        <v/>
      </c>
      <c r="H88" s="8">
        <f>IF(AND(COUNT(H14:H85)&gt;0, H86&gt;0), ROUND(COUNTIF(H14:H85, "&gt;="&amp;H86) / COUNT(H14:H85) * 100, 2) &amp; "%", "0%")</f>
        <v/>
      </c>
      <c r="I88" s="8">
        <f>IF(AND(COUNT(I14:I85)&gt;0, I86&gt;0), ROUND(COUNTIF(I14:I85, "&gt;="&amp;I86) / COUNT(I14:I85) * 100, 2) &amp; "%", "0%")</f>
        <v/>
      </c>
      <c r="J88" s="8">
        <f>IF(AND(COUNT(J14:J85)&gt;0, J86&gt;0), ROUND(COUNTIF(J14:J85, "&gt;="&amp;J86) / COUNT(J14:J85) * 100, 2) &amp; "%", "0%")</f>
        <v/>
      </c>
      <c r="K88" s="8">
        <f>IF(AND(COUNT(K14:K85)&gt;0, K86&gt;0), ROUND(COUNTIF(K14:K85, "&gt;="&amp;K86) / COUNT(K14:K85) * 100, 2) &amp; "%", "0%")</f>
        <v/>
      </c>
      <c r="L88" s="8">
        <f>IF(AND(COUNT(L14:L85)&gt;0, L86&gt;0), ROUND(COUNTIF(L14:L85, "&gt;="&amp;L86) / COUNT(L14:L85) * 100, 2) &amp; "%", "0%")</f>
        <v/>
      </c>
      <c r="M88" s="8">
        <f>IF(AND(COUNT(M14:M85)&gt;0, M86&gt;0), ROUND(COUNTIF(M14:M85, "&gt;="&amp;M86) / COUNT(M14:M85) * 100, 2) &amp; "%", "0%")</f>
        <v/>
      </c>
      <c r="N88" s="8">
        <f>IF(AND(COUNT(N14:N85)&gt;0, N86&gt;0), ROUND(COUNTIF(N14:N85, "&gt;="&amp;N86) / COUNT(N14:N85) * 100, 2) &amp; "%", "0%")</f>
        <v/>
      </c>
      <c r="O88" s="8">
        <f>IF(AND(COUNT(O14:O85)&gt;0, O86&gt;0), ROUND(COUNTIF(O14:O85, "&gt;="&amp;O86) / COUNT(O14:O85) * 100, 2) &amp; "%", "0%")</f>
        <v/>
      </c>
      <c r="P88" s="8">
        <f>IF(AND(COUNT(P14:P85)&gt;0, P86&gt;0), ROUND(COUNTIF(P14:P85, "&gt;="&amp;P86) / COUNT(P14:P85) * 100, 2) &amp; "%", "0%")</f>
        <v/>
      </c>
      <c r="Q88" s="8">
        <f>IF(AND(COUNT(Q14:Q85)&gt;0, Q86&gt;0), ROUND(COUNTIF(Q14:Q85, "&gt;="&amp;Q86) / COUNT(Q14:Q85) * 100, 2) &amp; "%", "0%")</f>
        <v/>
      </c>
      <c r="R88" s="8">
        <f>IF(AND(COUNT(R14:R85)&gt;0, R86&gt;0), ROUND(COUNTIF(R14:R85, "&gt;="&amp;R86) / COUNT(R14:R85) * 100, 2) &amp; "%", "0%")</f>
        <v/>
      </c>
      <c r="S88" s="28">
        <f>IF(AND(COUNT(S14:S85)&gt;0, S86&gt;0), ROUND(COUNTIF(S14:S85, "&gt;="&amp;S86) / COUNT(S14:S85) * 100, 2) &amp; "%", "0%")</f>
        <v/>
      </c>
    </row>
    <row r="89">
      <c r="A89" s="27" t="inlineStr">
        <is>
          <t>CO Attainment</t>
        </is>
      </c>
      <c r="E89" s="8" t="n">
        <v>3</v>
      </c>
      <c r="F89" s="8" t="n">
        <v>3</v>
      </c>
      <c r="G89" s="8" t="n">
        <v>3</v>
      </c>
      <c r="H89" s="8" t="n">
        <v>3</v>
      </c>
      <c r="I89" s="8" t="n">
        <v>3</v>
      </c>
      <c r="J89" s="8" t="n">
        <v>3</v>
      </c>
      <c r="K89" s="8" t="n">
        <v>3</v>
      </c>
      <c r="L89" s="8" t="n">
        <v>3</v>
      </c>
      <c r="M89" s="8" t="n">
        <v>3</v>
      </c>
      <c r="N89" s="8" t="n">
        <v>3</v>
      </c>
      <c r="O89" s="8" t="n">
        <v>3</v>
      </c>
      <c r="P89" s="8" t="n">
        <v>3</v>
      </c>
      <c r="Q89" s="8" t="n">
        <v>3</v>
      </c>
      <c r="R89" s="8" t="n">
        <v>3</v>
      </c>
      <c r="S89" s="28" t="n">
        <v>1.67</v>
      </c>
    </row>
    <row r="91">
      <c r="B91" s="29" t="inlineStr">
        <is>
          <t>CO attainment through FA-TH</t>
        </is>
      </c>
    </row>
    <row r="92">
      <c r="B92" s="30" t="inlineStr">
        <is>
          <t>% CO Attained</t>
        </is>
      </c>
      <c r="C92" s="30" t="inlineStr">
        <is>
          <t>CO attainment</t>
        </is>
      </c>
    </row>
    <row r="93">
      <c r="B93" s="8" t="inlineStr">
        <is>
          <t>CO4</t>
        </is>
      </c>
      <c r="C93" s="9" t="n">
        <v>1.44</v>
      </c>
      <c r="D93" s="8" t="n">
        <v>3</v>
      </c>
    </row>
    <row r="94">
      <c r="B94" s="8" t="inlineStr">
        <is>
          <t>CO5</t>
        </is>
      </c>
      <c r="C94" s="9" t="n">
        <v>1.63</v>
      </c>
      <c r="D94" s="8" t="n">
        <v>3</v>
      </c>
    </row>
    <row r="95">
      <c r="B95" s="8" t="inlineStr">
        <is>
          <t>CO6</t>
        </is>
      </c>
      <c r="C95" s="9" t="n">
        <v>1.8</v>
      </c>
      <c r="D95" s="8" t="n">
        <v>3</v>
      </c>
    </row>
  </sheetData>
  <mergeCells count="26">
    <mergeCell ref="C92:D92"/>
    <mergeCell ref="C3:M3"/>
    <mergeCell ref="A89:C89"/>
    <mergeCell ref="C11:C13"/>
    <mergeCell ref="C9:K9"/>
    <mergeCell ref="A1:B3"/>
    <mergeCell ref="A6:B6"/>
    <mergeCell ref="A86:C86"/>
    <mergeCell ref="A7:B7"/>
    <mergeCell ref="A87:C87"/>
    <mergeCell ref="C1:M1"/>
    <mergeCell ref="C8:K8"/>
    <mergeCell ref="C7:K7"/>
    <mergeCell ref="A5:B5"/>
    <mergeCell ref="A11:A13"/>
    <mergeCell ref="C2:M2"/>
    <mergeCell ref="B11:B13"/>
    <mergeCell ref="S11:S13"/>
    <mergeCell ref="B91:D91"/>
    <mergeCell ref="A8:B8"/>
    <mergeCell ref="C6:K6"/>
    <mergeCell ref="A4:B4"/>
    <mergeCell ref="C5:K5"/>
    <mergeCell ref="A88:C88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98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</cols>
  <sheetData>
    <row r="1">
      <c r="A1" s="1" t="n"/>
      <c r="C1" s="2" t="inlineStr">
        <is>
          <t>Sandip Polytechnic, Nashik</t>
        </is>
      </c>
      <c r="N1" s="3" t="inlineStr">
        <is>
          <t>FA-PR (K3)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FA-PR (K3)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1">
      <c r="A11" s="14" t="inlineStr">
        <is>
          <t>ENROLLMENT NO.</t>
        </is>
      </c>
      <c r="B11" s="14" t="inlineStr">
        <is>
          <t>Roll no.</t>
        </is>
      </c>
      <c r="C11" s="14" t="inlineStr">
        <is>
          <t>Name of Student</t>
        </is>
      </c>
      <c r="D11" s="31" t="inlineStr">
        <is>
          <t>Practical No.</t>
        </is>
      </c>
      <c r="E11" s="25" t="inlineStr">
        <is>
          <t>1</t>
        </is>
      </c>
      <c r="F11" s="25" t="inlineStr">
        <is>
          <t>2</t>
        </is>
      </c>
      <c r="G11" s="25" t="inlineStr">
        <is>
          <t>3</t>
        </is>
      </c>
      <c r="H11" s="25" t="inlineStr">
        <is>
          <t>4</t>
        </is>
      </c>
      <c r="I11" s="25" t="inlineStr">
        <is>
          <t>5</t>
        </is>
      </c>
      <c r="J11" s="25" t="inlineStr">
        <is>
          <t>6</t>
        </is>
      </c>
      <c r="K11" s="25" t="inlineStr">
        <is>
          <t>7</t>
        </is>
      </c>
      <c r="L11" s="25" t="inlineStr">
        <is>
          <t>8</t>
        </is>
      </c>
      <c r="M11" s="25" t="inlineStr">
        <is>
          <t>9</t>
        </is>
      </c>
      <c r="N11" s="25" t="inlineStr">
        <is>
          <t>10</t>
        </is>
      </c>
      <c r="O11" s="25" t="inlineStr">
        <is>
          <t>11</t>
        </is>
      </c>
      <c r="P11" s="25" t="inlineStr">
        <is>
          <t>12</t>
        </is>
      </c>
      <c r="Q11" s="25" t="inlineStr">
        <is>
          <t>13</t>
        </is>
      </c>
      <c r="R11" s="25" t="inlineStr">
        <is>
          <t>14</t>
        </is>
      </c>
      <c r="S11" s="25" t="inlineStr">
        <is>
          <t>15</t>
        </is>
      </c>
      <c r="T11" s="25" t="inlineStr">
        <is>
          <t>16</t>
        </is>
      </c>
      <c r="U11" s="25" t="inlineStr">
        <is>
          <t>17</t>
        </is>
      </c>
      <c r="V11" s="25" t="inlineStr">
        <is>
          <t>18</t>
        </is>
      </c>
      <c r="W11" s="25" t="inlineStr">
        <is>
          <t>19</t>
        </is>
      </c>
      <c r="X11" s="25" t="inlineStr">
        <is>
          <t>20</t>
        </is>
      </c>
      <c r="Y11" s="25" t="inlineStr">
        <is>
          <t>21</t>
        </is>
      </c>
      <c r="Z11" s="25" t="inlineStr">
        <is>
          <t>22</t>
        </is>
      </c>
      <c r="AA11" s="25" t="inlineStr">
        <is>
          <t>23</t>
        </is>
      </c>
      <c r="AB11" s="25" t="inlineStr">
        <is>
          <t>24</t>
        </is>
      </c>
      <c r="AC11" s="25" t="inlineStr">
        <is>
          <t>25</t>
        </is>
      </c>
      <c r="AD11" s="25" t="inlineStr">
        <is>
          <t>26</t>
        </is>
      </c>
      <c r="AE11" s="25" t="inlineStr">
        <is>
          <t>27</t>
        </is>
      </c>
      <c r="AF11" s="21" t="inlineStr">
        <is>
          <t>Total Marks</t>
        </is>
      </c>
    </row>
    <row r="12">
      <c r="A12" s="22" t="n"/>
      <c r="B12" s="22" t="n"/>
      <c r="C12" s="22" t="n"/>
      <c r="D12" s="31" t="inlineStr">
        <is>
          <t>Max Marks</t>
        </is>
      </c>
      <c r="E12" s="23" t="n">
        <v>50</v>
      </c>
      <c r="F12" s="23" t="n">
        <v>50</v>
      </c>
      <c r="G12" s="23" t="n">
        <v>50</v>
      </c>
      <c r="H12" s="23" t="n">
        <v>50</v>
      </c>
      <c r="I12" s="23" t="n">
        <v>50</v>
      </c>
      <c r="J12" s="23" t="n">
        <v>50</v>
      </c>
      <c r="K12" s="23" t="n">
        <v>50</v>
      </c>
      <c r="L12" s="23" t="n">
        <v>50</v>
      </c>
      <c r="M12" s="23" t="n">
        <v>50</v>
      </c>
      <c r="N12" s="23" t="n">
        <v>50</v>
      </c>
      <c r="O12" s="23" t="n">
        <v>50</v>
      </c>
      <c r="P12" s="23" t="n">
        <v>50</v>
      </c>
      <c r="Q12" s="23" t="n">
        <v>50</v>
      </c>
      <c r="R12" s="23" t="n">
        <v>50</v>
      </c>
      <c r="S12" s="23" t="n">
        <v>50</v>
      </c>
      <c r="T12" s="23" t="n">
        <v>50</v>
      </c>
      <c r="U12" s="23" t="n">
        <v>50</v>
      </c>
      <c r="V12" s="23" t="n">
        <v>50</v>
      </c>
      <c r="W12" s="23" t="n">
        <v>50</v>
      </c>
      <c r="X12" s="23" t="n">
        <v>50</v>
      </c>
      <c r="Y12" s="23" t="n">
        <v>50</v>
      </c>
      <c r="Z12" s="23" t="n">
        <v>50</v>
      </c>
      <c r="AA12" s="23" t="n">
        <v>50</v>
      </c>
      <c r="AB12" s="23" t="n">
        <v>50</v>
      </c>
      <c r="AC12" s="23" t="n">
        <v>50</v>
      </c>
      <c r="AD12" s="23" t="n">
        <v>50</v>
      </c>
      <c r="AE12" s="23" t="n">
        <v>50</v>
      </c>
      <c r="AF12" s="22" t="n"/>
    </row>
    <row r="13">
      <c r="A13" s="24" t="n"/>
      <c r="B13" s="24" t="n"/>
      <c r="C13" s="24" t="n"/>
      <c r="D13" s="31" t="inlineStr">
        <is>
          <t>Course Outcome</t>
        </is>
      </c>
      <c r="E13" s="32" t="inlineStr">
        <is>
          <t>CO1</t>
        </is>
      </c>
      <c r="F13" s="32" t="inlineStr">
        <is>
          <t>CO2</t>
        </is>
      </c>
      <c r="G13" s="32" t="inlineStr">
        <is>
          <t>CO2</t>
        </is>
      </c>
      <c r="H13" s="32" t="inlineStr">
        <is>
          <t>CO2</t>
        </is>
      </c>
      <c r="I13" s="32" t="inlineStr">
        <is>
          <t>CO2</t>
        </is>
      </c>
      <c r="J13" s="32" t="inlineStr">
        <is>
          <t>CO2</t>
        </is>
      </c>
      <c r="K13" s="32" t="inlineStr">
        <is>
          <t>CO2</t>
        </is>
      </c>
      <c r="L13" s="32" t="inlineStr">
        <is>
          <t>CO2</t>
        </is>
      </c>
      <c r="M13" s="32" t="inlineStr">
        <is>
          <t>CO2</t>
        </is>
      </c>
      <c r="N13" s="32" t="inlineStr">
        <is>
          <t>CO2</t>
        </is>
      </c>
      <c r="O13" s="32" t="inlineStr">
        <is>
          <t>CO2</t>
        </is>
      </c>
      <c r="P13" s="32" t="inlineStr">
        <is>
          <t>CO3</t>
        </is>
      </c>
      <c r="Q13" s="32" t="inlineStr">
        <is>
          <t>CO3</t>
        </is>
      </c>
      <c r="R13" s="32" t="inlineStr">
        <is>
          <t>CO3</t>
        </is>
      </c>
      <c r="S13" s="32" t="inlineStr">
        <is>
          <t>CO3</t>
        </is>
      </c>
      <c r="T13" s="32" t="inlineStr">
        <is>
          <t>CO4</t>
        </is>
      </c>
      <c r="U13" s="32" t="inlineStr">
        <is>
          <t>CO4</t>
        </is>
      </c>
      <c r="V13" s="32" t="inlineStr">
        <is>
          <t>CO4</t>
        </is>
      </c>
      <c r="W13" s="32" t="inlineStr">
        <is>
          <t>CO4</t>
        </is>
      </c>
      <c r="X13" s="32" t="inlineStr">
        <is>
          <t>CO4</t>
        </is>
      </c>
      <c r="Y13" s="32" t="inlineStr">
        <is>
          <t>CO5</t>
        </is>
      </c>
      <c r="Z13" s="32" t="inlineStr">
        <is>
          <t>CO5</t>
        </is>
      </c>
      <c r="AA13" s="32" t="inlineStr">
        <is>
          <t>CO5</t>
        </is>
      </c>
      <c r="AB13" s="32" t="inlineStr">
        <is>
          <t>CO5</t>
        </is>
      </c>
      <c r="AC13" s="32" t="inlineStr">
        <is>
          <t>CO5</t>
        </is>
      </c>
      <c r="AD13" s="32" t="inlineStr">
        <is>
          <t>CO6</t>
        </is>
      </c>
      <c r="AE13" s="32" t="inlineStr">
        <is>
          <t>CO6</t>
        </is>
      </c>
      <c r="AF13" s="24" t="n"/>
    </row>
    <row r="14">
      <c r="A14" s="14" t="inlineStr">
        <is>
          <t>23611780171</t>
        </is>
      </c>
      <c r="B14" s="14" t="inlineStr">
        <is>
          <t>1</t>
        </is>
      </c>
      <c r="C14" s="26" t="inlineStr">
        <is>
          <t>MORE LALIT DILIP</t>
        </is>
      </c>
      <c r="E14" s="8" t="n">
        <v>44</v>
      </c>
      <c r="F14" s="8" t="n">
        <v>44</v>
      </c>
      <c r="G14" s="8" t="n">
        <v>44</v>
      </c>
      <c r="H14" s="8" t="n">
        <v>44</v>
      </c>
      <c r="I14" s="8" t="n">
        <v>44</v>
      </c>
      <c r="J14" s="8" t="n">
        <v>44</v>
      </c>
      <c r="K14" s="8" t="n">
        <v>44</v>
      </c>
      <c r="L14" s="8" t="n">
        <v>44</v>
      </c>
      <c r="M14" s="8" t="n">
        <v>44</v>
      </c>
      <c r="N14" s="8" t="n">
        <v>44</v>
      </c>
      <c r="O14" s="8" t="n">
        <v>44</v>
      </c>
      <c r="P14" s="8" t="n">
        <v>43</v>
      </c>
      <c r="Q14" s="8" t="n">
        <v>43</v>
      </c>
      <c r="R14" s="8" t="n">
        <v>43</v>
      </c>
      <c r="S14" s="8" t="n">
        <v>43</v>
      </c>
      <c r="T14" s="8" t="n">
        <v>43</v>
      </c>
      <c r="U14" s="8" t="n">
        <v>42</v>
      </c>
      <c r="V14" s="8" t="n">
        <v>42</v>
      </c>
      <c r="W14" s="8" t="n">
        <v>42</v>
      </c>
      <c r="X14" s="8" t="n">
        <v>42</v>
      </c>
      <c r="Y14" s="8" t="n">
        <v>42</v>
      </c>
      <c r="Z14" s="8" t="n">
        <v>42</v>
      </c>
      <c r="AA14" s="8" t="n">
        <v>42</v>
      </c>
      <c r="AB14" s="8" t="n">
        <v>42</v>
      </c>
      <c r="AC14" s="8" t="n">
        <v>42</v>
      </c>
      <c r="AD14" s="8" t="n">
        <v>42</v>
      </c>
      <c r="AE14" s="8" t="n">
        <v>42</v>
      </c>
      <c r="AF14" s="8" t="n">
        <v>43</v>
      </c>
    </row>
    <row r="15">
      <c r="A15" s="14" t="inlineStr">
        <is>
          <t>23611780172</t>
        </is>
      </c>
      <c r="B15" s="14" t="inlineStr">
        <is>
          <t>2</t>
        </is>
      </c>
      <c r="C15" s="26" t="inlineStr">
        <is>
          <t>JAGZAP ANIL NANA</t>
        </is>
      </c>
      <c r="E15" s="8" t="n">
        <v>46</v>
      </c>
      <c r="F15" s="8" t="n">
        <v>46</v>
      </c>
      <c r="G15" s="8" t="n">
        <v>47</v>
      </c>
      <c r="H15" s="8" t="n">
        <v>47</v>
      </c>
      <c r="I15" s="8" t="n">
        <v>47</v>
      </c>
      <c r="J15" s="8" t="n">
        <v>46</v>
      </c>
      <c r="K15" s="8" t="n">
        <v>47</v>
      </c>
      <c r="L15" s="8" t="n">
        <v>46</v>
      </c>
      <c r="M15" s="8" t="n">
        <v>47</v>
      </c>
      <c r="N15" s="8" t="n">
        <v>47</v>
      </c>
      <c r="O15" s="8" t="n">
        <v>47</v>
      </c>
      <c r="P15" s="8" t="n">
        <v>47</v>
      </c>
      <c r="Q15" s="8" t="n">
        <v>47</v>
      </c>
      <c r="R15" s="8" t="n">
        <v>47</v>
      </c>
      <c r="S15" s="8" t="n">
        <v>47</v>
      </c>
      <c r="T15" s="8" t="n">
        <v>47</v>
      </c>
      <c r="U15" s="8" t="n">
        <v>47</v>
      </c>
      <c r="V15" s="8" t="n">
        <v>47</v>
      </c>
      <c r="W15" s="8" t="n">
        <v>47</v>
      </c>
      <c r="X15" s="8" t="n">
        <v>47</v>
      </c>
      <c r="Y15" s="8" t="n">
        <v>46</v>
      </c>
      <c r="Z15" s="8" t="n">
        <v>46</v>
      </c>
      <c r="AA15" s="8" t="n">
        <v>47</v>
      </c>
      <c r="AB15" s="8" t="n">
        <v>47</v>
      </c>
      <c r="AC15" s="8" t="n">
        <v>47</v>
      </c>
      <c r="AD15" s="8" t="n">
        <v>47</v>
      </c>
      <c r="AE15" s="8" t="n">
        <v>47</v>
      </c>
      <c r="AF15" s="8" t="n">
        <v>46.78</v>
      </c>
    </row>
    <row r="16">
      <c r="A16" s="14" t="inlineStr">
        <is>
          <t>23611780173</t>
        </is>
      </c>
      <c r="B16" s="14" t="inlineStr">
        <is>
          <t>3</t>
        </is>
      </c>
      <c r="C16" s="26" t="inlineStr">
        <is>
          <t>NIKAM NIRANJAN SATISH</t>
        </is>
      </c>
      <c r="E16" s="8" t="n">
        <v>41</v>
      </c>
      <c r="F16" s="8" t="n">
        <v>42</v>
      </c>
      <c r="G16" s="8" t="n">
        <v>41</v>
      </c>
      <c r="H16" s="8" t="n">
        <v>41</v>
      </c>
      <c r="I16" s="8" t="n">
        <v>41</v>
      </c>
      <c r="J16" s="8" t="n">
        <v>41</v>
      </c>
      <c r="K16" s="8" t="n">
        <v>41</v>
      </c>
      <c r="L16" s="8" t="n">
        <v>41</v>
      </c>
      <c r="M16" s="8" t="n">
        <v>41</v>
      </c>
      <c r="N16" s="8" t="n">
        <v>41</v>
      </c>
      <c r="O16" s="8" t="n">
        <v>41</v>
      </c>
      <c r="P16" s="8" t="n">
        <v>41</v>
      </c>
      <c r="Q16" s="8" t="n">
        <v>41</v>
      </c>
      <c r="R16" s="8" t="n">
        <v>41</v>
      </c>
      <c r="S16" s="8" t="n">
        <v>41</v>
      </c>
      <c r="T16" s="8" t="n">
        <v>41</v>
      </c>
      <c r="U16" s="8" t="n">
        <v>41</v>
      </c>
      <c r="V16" s="8" t="n">
        <v>41</v>
      </c>
      <c r="W16" s="8" t="n">
        <v>41</v>
      </c>
      <c r="X16" s="8" t="n">
        <v>42</v>
      </c>
      <c r="Y16" s="8" t="n">
        <v>42</v>
      </c>
      <c r="Z16" s="8" t="n">
        <v>41</v>
      </c>
      <c r="AA16" s="8" t="n">
        <v>41</v>
      </c>
      <c r="AB16" s="8" t="n">
        <v>42</v>
      </c>
      <c r="AC16" s="8" t="n">
        <v>41</v>
      </c>
      <c r="AD16" s="8" t="n">
        <v>41</v>
      </c>
      <c r="AE16" s="8" t="n">
        <v>42</v>
      </c>
      <c r="AF16" s="8" t="n">
        <v>41.19</v>
      </c>
    </row>
    <row r="17">
      <c r="A17" s="14" t="inlineStr">
        <is>
          <t>23611780174</t>
        </is>
      </c>
      <c r="B17" s="14" t="inlineStr">
        <is>
          <t>4</t>
        </is>
      </c>
      <c r="C17" s="26" t="inlineStr">
        <is>
          <t>BIDAIT VAIBHAV BALASAHEB</t>
        </is>
      </c>
      <c r="E17" s="8" t="n">
        <v>44</v>
      </c>
      <c r="F17" s="8" t="n">
        <v>45</v>
      </c>
      <c r="G17" s="8" t="n">
        <v>45</v>
      </c>
      <c r="H17" s="8" t="n">
        <v>44</v>
      </c>
      <c r="I17" s="8" t="n">
        <v>44</v>
      </c>
      <c r="J17" s="8" t="n">
        <v>45</v>
      </c>
      <c r="K17" s="8" t="n">
        <v>44</v>
      </c>
      <c r="L17" s="8" t="n">
        <v>45</v>
      </c>
      <c r="M17" s="8" t="n">
        <v>46</v>
      </c>
      <c r="N17" s="8" t="n">
        <v>46</v>
      </c>
      <c r="O17" s="8" t="n">
        <v>45</v>
      </c>
      <c r="P17" s="8" t="n">
        <v>46</v>
      </c>
      <c r="Q17" s="8" t="n">
        <v>46</v>
      </c>
      <c r="R17" s="8" t="n">
        <v>46</v>
      </c>
      <c r="S17" s="8" t="n">
        <v>45</v>
      </c>
      <c r="T17" s="8" t="n">
        <v>45</v>
      </c>
      <c r="U17" s="8" t="n">
        <v>46</v>
      </c>
      <c r="V17" s="8" t="n">
        <v>44</v>
      </c>
      <c r="W17" s="8" t="n">
        <v>45</v>
      </c>
      <c r="X17" s="8" t="n">
        <v>44</v>
      </c>
      <c r="Y17" s="8" t="n">
        <v>46</v>
      </c>
      <c r="Z17" s="8" t="n">
        <v>46</v>
      </c>
      <c r="AA17" s="8" t="n">
        <v>45</v>
      </c>
      <c r="AB17" s="8" t="n">
        <v>46</v>
      </c>
      <c r="AC17" s="8" t="n">
        <v>44</v>
      </c>
      <c r="AD17" s="8" t="n">
        <v>46</v>
      </c>
      <c r="AE17" s="8" t="n">
        <v>44</v>
      </c>
      <c r="AF17" s="8" t="n">
        <v>45.07</v>
      </c>
    </row>
    <row r="18">
      <c r="A18" s="14" t="inlineStr">
        <is>
          <t>23611780175</t>
        </is>
      </c>
      <c r="B18" s="14" t="inlineStr">
        <is>
          <t>5</t>
        </is>
      </c>
      <c r="C18" s="26" t="inlineStr">
        <is>
          <t>BHABAD SANIKA JAGADISH</t>
        </is>
      </c>
      <c r="E18" s="8" t="n">
        <v>46</v>
      </c>
      <c r="F18" s="8" t="n">
        <v>46</v>
      </c>
      <c r="G18" s="8" t="n">
        <v>45</v>
      </c>
      <c r="H18" s="8" t="n">
        <v>47</v>
      </c>
      <c r="I18" s="8" t="n">
        <v>45</v>
      </c>
      <c r="J18" s="8" t="n">
        <v>46</v>
      </c>
      <c r="K18" s="8" t="n">
        <v>45</v>
      </c>
      <c r="L18" s="8" t="n">
        <v>46</v>
      </c>
      <c r="M18" s="8" t="n">
        <v>45</v>
      </c>
      <c r="N18" s="8" t="n">
        <v>45</v>
      </c>
      <c r="O18" s="8" t="n">
        <v>45</v>
      </c>
      <c r="P18" s="8" t="n">
        <v>45</v>
      </c>
      <c r="Q18" s="8" t="n">
        <v>45</v>
      </c>
      <c r="R18" s="8" t="n">
        <v>45</v>
      </c>
      <c r="S18" s="8" t="n">
        <v>45</v>
      </c>
      <c r="T18" s="8" t="n">
        <v>45</v>
      </c>
      <c r="U18" s="8" t="n">
        <v>45</v>
      </c>
      <c r="V18" s="8" t="n">
        <v>45</v>
      </c>
      <c r="W18" s="8" t="n">
        <v>45</v>
      </c>
      <c r="X18" s="8" t="n">
        <v>45</v>
      </c>
      <c r="Y18" s="8" t="n">
        <v>45</v>
      </c>
      <c r="Z18" s="8" t="n">
        <v>45</v>
      </c>
      <c r="AA18" s="8" t="n">
        <v>45</v>
      </c>
      <c r="AB18" s="8" t="n">
        <v>45</v>
      </c>
      <c r="AC18" s="8" t="n">
        <v>44</v>
      </c>
      <c r="AD18" s="8" t="n">
        <v>45</v>
      </c>
      <c r="AE18" s="8" t="n">
        <v>45</v>
      </c>
      <c r="AF18" s="8" t="n">
        <v>45.19</v>
      </c>
    </row>
    <row r="19">
      <c r="A19" s="14" t="inlineStr">
        <is>
          <t>23611780176</t>
        </is>
      </c>
      <c r="B19" s="14" t="inlineStr">
        <is>
          <t>6</t>
        </is>
      </c>
      <c r="C19" s="26" t="inlineStr">
        <is>
          <t>JADHAV RAHUL DEVENDRA</t>
        </is>
      </c>
      <c r="E19" s="8" t="n">
        <v>44</v>
      </c>
      <c r="F19" s="8" t="n">
        <v>45</v>
      </c>
      <c r="G19" s="8" t="n">
        <v>45</v>
      </c>
      <c r="H19" s="8" t="n">
        <v>45</v>
      </c>
      <c r="I19" s="8" t="n">
        <v>45</v>
      </c>
      <c r="J19" s="8" t="n">
        <v>46</v>
      </c>
      <c r="K19" s="8" t="n">
        <v>45</v>
      </c>
      <c r="L19" s="8" t="n">
        <v>45</v>
      </c>
      <c r="M19" s="8" t="n">
        <v>45</v>
      </c>
      <c r="N19" s="8" t="n">
        <v>45</v>
      </c>
      <c r="O19" s="8" t="n">
        <v>45</v>
      </c>
      <c r="P19" s="8" t="n">
        <v>45</v>
      </c>
      <c r="Q19" s="8" t="n">
        <v>46</v>
      </c>
      <c r="R19" s="8" t="n">
        <v>45</v>
      </c>
      <c r="S19" s="8" t="n">
        <v>45</v>
      </c>
      <c r="T19" s="8" t="n">
        <v>46</v>
      </c>
      <c r="U19" s="8" t="n">
        <v>46</v>
      </c>
      <c r="V19" s="8" t="n">
        <v>46</v>
      </c>
      <c r="W19" s="8" t="n">
        <v>46</v>
      </c>
      <c r="X19" s="8" t="n">
        <v>46</v>
      </c>
      <c r="Y19" s="8" t="n">
        <v>45</v>
      </c>
      <c r="Z19" s="8" t="n">
        <v>46</v>
      </c>
      <c r="AA19" s="8" t="n">
        <v>45</v>
      </c>
      <c r="AB19" s="8" t="n">
        <v>45</v>
      </c>
      <c r="AC19" s="8" t="n">
        <v>45</v>
      </c>
      <c r="AD19" s="8" t="n">
        <v>45</v>
      </c>
      <c r="AE19" s="8" t="n">
        <v>46</v>
      </c>
      <c r="AF19" s="8" t="n">
        <v>45.3</v>
      </c>
    </row>
    <row r="20">
      <c r="A20" s="14" t="inlineStr">
        <is>
          <t>23611780177</t>
        </is>
      </c>
      <c r="B20" s="14" t="inlineStr">
        <is>
          <t>7</t>
        </is>
      </c>
      <c r="C20" s="26" t="inlineStr">
        <is>
          <t>SURVE PARTH YOGESH</t>
        </is>
      </c>
      <c r="E20" s="8" t="n">
        <v>41</v>
      </c>
      <c r="F20" s="8" t="n">
        <v>42</v>
      </c>
      <c r="G20" s="8" t="n">
        <v>42</v>
      </c>
      <c r="H20" s="8" t="n">
        <v>42</v>
      </c>
      <c r="I20" s="8" t="n">
        <v>42</v>
      </c>
      <c r="J20" s="8" t="n">
        <v>42</v>
      </c>
      <c r="K20" s="8" t="n">
        <v>42</v>
      </c>
      <c r="L20" s="8" t="n">
        <v>42</v>
      </c>
      <c r="M20" s="8" t="n">
        <v>42</v>
      </c>
      <c r="N20" s="8" t="n">
        <v>42</v>
      </c>
      <c r="O20" s="8" t="n">
        <v>42</v>
      </c>
      <c r="P20" s="8" t="n">
        <v>42</v>
      </c>
      <c r="Q20" s="8" t="n">
        <v>42</v>
      </c>
      <c r="R20" s="8" t="n">
        <v>42</v>
      </c>
      <c r="S20" s="8" t="n">
        <v>42</v>
      </c>
      <c r="T20" s="8" t="n">
        <v>42</v>
      </c>
      <c r="U20" s="8" t="n">
        <v>42</v>
      </c>
      <c r="V20" s="8" t="n">
        <v>43</v>
      </c>
      <c r="W20" s="8" t="n">
        <v>42</v>
      </c>
      <c r="X20" s="8" t="n">
        <v>42</v>
      </c>
      <c r="Y20" s="8" t="n">
        <v>42</v>
      </c>
      <c r="Z20" s="8" t="n">
        <v>43</v>
      </c>
      <c r="AA20" s="8" t="n">
        <v>43</v>
      </c>
      <c r="AB20" s="8" t="n">
        <v>42</v>
      </c>
      <c r="AC20" s="8" t="n">
        <v>42</v>
      </c>
      <c r="AD20" s="8" t="n">
        <v>42</v>
      </c>
      <c r="AE20" s="8" t="n">
        <v>43</v>
      </c>
      <c r="AF20" s="8" t="n">
        <v>42.11</v>
      </c>
    </row>
    <row r="21">
      <c r="A21" s="14" t="inlineStr">
        <is>
          <t>23611780178</t>
        </is>
      </c>
      <c r="B21" s="14" t="inlineStr">
        <is>
          <t>8</t>
        </is>
      </c>
      <c r="C21" s="26" t="inlineStr">
        <is>
          <t>HANDE SALONI PRABHAKAR</t>
        </is>
      </c>
      <c r="E21" s="8" t="n">
        <v>46</v>
      </c>
      <c r="F21" s="8" t="n">
        <v>47</v>
      </c>
      <c r="G21" s="8" t="n">
        <v>46</v>
      </c>
      <c r="H21" s="8" t="n">
        <v>47</v>
      </c>
      <c r="I21" s="8" t="n">
        <v>46</v>
      </c>
      <c r="J21" s="8" t="n">
        <v>47</v>
      </c>
      <c r="K21" s="8" t="n">
        <v>45</v>
      </c>
      <c r="L21" s="8" t="n">
        <v>47</v>
      </c>
      <c r="M21" s="8" t="n">
        <v>47</v>
      </c>
      <c r="N21" s="8" t="n">
        <v>45</v>
      </c>
      <c r="O21" s="8" t="n">
        <v>45</v>
      </c>
      <c r="P21" s="8" t="n">
        <v>45</v>
      </c>
      <c r="Q21" s="8" t="n">
        <v>46</v>
      </c>
      <c r="R21" s="8" t="n">
        <v>46</v>
      </c>
      <c r="S21" s="8" t="n">
        <v>46</v>
      </c>
      <c r="T21" s="8" t="n">
        <v>46</v>
      </c>
      <c r="U21" s="8" t="n">
        <v>45</v>
      </c>
      <c r="V21" s="8" t="n">
        <v>45</v>
      </c>
      <c r="W21" s="8" t="n">
        <v>45</v>
      </c>
      <c r="X21" s="8" t="n">
        <v>46</v>
      </c>
      <c r="Y21" s="8" t="n">
        <v>46</v>
      </c>
      <c r="Z21" s="8" t="n">
        <v>46</v>
      </c>
      <c r="AA21" s="8" t="n">
        <v>46</v>
      </c>
      <c r="AB21" s="8" t="n">
        <v>46</v>
      </c>
      <c r="AC21" s="8" t="n">
        <v>46</v>
      </c>
      <c r="AD21" s="8" t="n">
        <v>46</v>
      </c>
      <c r="AE21" s="8" t="n">
        <v>46</v>
      </c>
      <c r="AF21" s="8" t="n">
        <v>45.93</v>
      </c>
    </row>
    <row r="22">
      <c r="A22" s="14" t="inlineStr">
        <is>
          <t>23611780179</t>
        </is>
      </c>
      <c r="B22" s="14" t="inlineStr">
        <is>
          <t>9</t>
        </is>
      </c>
      <c r="C22" s="26" t="inlineStr">
        <is>
          <t>PINGALKAR VAISHNAVI VIJAY</t>
        </is>
      </c>
      <c r="E22" s="8" t="n">
        <v>46</v>
      </c>
      <c r="F22" s="8" t="n">
        <v>46</v>
      </c>
      <c r="G22" s="8" t="n">
        <v>46</v>
      </c>
      <c r="H22" s="8" t="n">
        <v>46</v>
      </c>
      <c r="I22" s="8" t="n">
        <v>46</v>
      </c>
      <c r="J22" s="8" t="n">
        <v>47</v>
      </c>
      <c r="K22" s="8" t="n">
        <v>47</v>
      </c>
      <c r="L22" s="8" t="n">
        <v>47</v>
      </c>
      <c r="M22" s="8" t="n">
        <v>45</v>
      </c>
      <c r="N22" s="8" t="n">
        <v>45</v>
      </c>
      <c r="O22" s="8" t="n">
        <v>45</v>
      </c>
      <c r="P22" s="8" t="n">
        <v>45</v>
      </c>
      <c r="Q22" s="8" t="n">
        <v>46</v>
      </c>
      <c r="R22" s="8" t="n">
        <v>46</v>
      </c>
      <c r="S22" s="8" t="n">
        <v>46</v>
      </c>
      <c r="T22" s="8" t="n">
        <v>46</v>
      </c>
      <c r="U22" s="8" t="n">
        <v>46</v>
      </c>
      <c r="V22" s="8" t="n">
        <v>47</v>
      </c>
      <c r="W22" s="8" t="n">
        <v>47</v>
      </c>
      <c r="X22" s="8" t="n">
        <v>47</v>
      </c>
      <c r="Y22" s="8" t="n">
        <v>47</v>
      </c>
      <c r="Z22" s="8" t="n">
        <v>47</v>
      </c>
      <c r="AA22" s="8" t="n">
        <v>47</v>
      </c>
      <c r="AB22" s="8" t="n">
        <v>47</v>
      </c>
      <c r="AC22" s="8" t="n">
        <v>46</v>
      </c>
      <c r="AD22" s="8" t="n">
        <v>46</v>
      </c>
      <c r="AE22" s="8" t="n">
        <v>46</v>
      </c>
      <c r="AF22" s="8" t="n">
        <v>46.22</v>
      </c>
    </row>
    <row r="23">
      <c r="A23" s="14" t="inlineStr">
        <is>
          <t>23611780180</t>
        </is>
      </c>
      <c r="B23" s="14" t="inlineStr">
        <is>
          <t>10</t>
        </is>
      </c>
      <c r="C23" s="26" t="inlineStr">
        <is>
          <t>DEORE SURAJ RAJENDRA</t>
        </is>
      </c>
      <c r="E23" s="8" t="n">
        <v>48</v>
      </c>
      <c r="F23" s="8" t="n">
        <v>47</v>
      </c>
      <c r="G23" s="8" t="n">
        <v>47</v>
      </c>
      <c r="H23" s="8" t="n">
        <v>47</v>
      </c>
      <c r="I23" s="8" t="n">
        <v>48</v>
      </c>
      <c r="J23" s="8" t="n">
        <v>47</v>
      </c>
      <c r="K23" s="8" t="n">
        <v>47</v>
      </c>
      <c r="L23" s="8" t="n">
        <v>47</v>
      </c>
      <c r="M23" s="8" t="n">
        <v>48</v>
      </c>
      <c r="N23" s="8" t="n">
        <v>47</v>
      </c>
      <c r="O23" s="8" t="n">
        <v>47</v>
      </c>
      <c r="P23" s="8" t="n">
        <v>47</v>
      </c>
      <c r="Q23" s="8" t="n">
        <v>47</v>
      </c>
      <c r="R23" s="8" t="n">
        <v>47</v>
      </c>
      <c r="S23" s="8" t="n">
        <v>47</v>
      </c>
      <c r="T23" s="8" t="n">
        <v>47</v>
      </c>
      <c r="U23" s="8" t="n">
        <v>47</v>
      </c>
      <c r="V23" s="8" t="n">
        <v>47</v>
      </c>
      <c r="W23" s="8" t="n">
        <v>47</v>
      </c>
      <c r="X23" s="8" t="n">
        <v>47</v>
      </c>
      <c r="Y23" s="8" t="n">
        <v>47</v>
      </c>
      <c r="Z23" s="8" t="n">
        <v>47</v>
      </c>
      <c r="AA23" s="8" t="n">
        <v>47</v>
      </c>
      <c r="AB23" s="8" t="n">
        <v>47</v>
      </c>
      <c r="AC23" s="8" t="n">
        <v>47</v>
      </c>
      <c r="AD23" s="8" t="n">
        <v>47</v>
      </c>
      <c r="AE23" s="8" t="n">
        <v>47</v>
      </c>
      <c r="AF23" s="8" t="n">
        <v>47.11</v>
      </c>
    </row>
    <row r="24">
      <c r="A24" s="14" t="inlineStr">
        <is>
          <t>23611780181</t>
        </is>
      </c>
      <c r="B24" s="14" t="inlineStr">
        <is>
          <t>11</t>
        </is>
      </c>
      <c r="C24" s="26" t="inlineStr">
        <is>
          <t>NETKAR YASH DIGAMBAR</t>
        </is>
      </c>
      <c r="E24" s="8" t="n">
        <v>46</v>
      </c>
      <c r="F24" s="8" t="n">
        <v>46</v>
      </c>
      <c r="G24" s="8" t="n">
        <v>46</v>
      </c>
      <c r="H24" s="8" t="n">
        <v>46</v>
      </c>
      <c r="I24" s="8" t="n">
        <v>46</v>
      </c>
      <c r="J24" s="8" t="n">
        <v>46</v>
      </c>
      <c r="K24" s="8" t="n">
        <v>46</v>
      </c>
      <c r="L24" s="8" t="n">
        <v>47</v>
      </c>
      <c r="M24" s="8" t="n">
        <v>47</v>
      </c>
      <c r="N24" s="8" t="n">
        <v>47</v>
      </c>
      <c r="O24" s="8" t="n">
        <v>47</v>
      </c>
      <c r="P24" s="8" t="n">
        <v>46</v>
      </c>
      <c r="Q24" s="8" t="n">
        <v>47</v>
      </c>
      <c r="R24" s="8" t="n">
        <v>46</v>
      </c>
      <c r="S24" s="8" t="n">
        <v>46</v>
      </c>
      <c r="T24" s="8" t="n">
        <v>46</v>
      </c>
      <c r="U24" s="8" t="n">
        <v>46</v>
      </c>
      <c r="V24" s="8" t="n">
        <v>46</v>
      </c>
      <c r="W24" s="8" t="n">
        <v>46</v>
      </c>
      <c r="X24" s="8" t="n">
        <v>46</v>
      </c>
      <c r="Y24" s="8" t="n">
        <v>47</v>
      </c>
      <c r="Z24" s="8" t="n">
        <v>46</v>
      </c>
      <c r="AA24" s="8" t="n">
        <v>46</v>
      </c>
      <c r="AB24" s="8" t="n">
        <v>46</v>
      </c>
      <c r="AC24" s="8" t="n">
        <v>45</v>
      </c>
      <c r="AD24" s="8" t="n">
        <v>46</v>
      </c>
      <c r="AE24" s="8" t="n">
        <v>47</v>
      </c>
      <c r="AF24" s="8" t="n">
        <v>46.22</v>
      </c>
    </row>
    <row r="25">
      <c r="A25" s="14" t="inlineStr">
        <is>
          <t>23611780182</t>
        </is>
      </c>
      <c r="B25" s="14" t="inlineStr">
        <is>
          <t>12</t>
        </is>
      </c>
      <c r="C25" s="26" t="inlineStr">
        <is>
          <t>MINDE ASHUTOSH SUBHASH</t>
        </is>
      </c>
      <c r="E25" s="8" t="n">
        <v>48</v>
      </c>
      <c r="F25" s="8" t="n">
        <v>47</v>
      </c>
      <c r="G25" s="8" t="n">
        <v>48</v>
      </c>
      <c r="H25" s="8" t="n">
        <v>47</v>
      </c>
      <c r="I25" s="8" t="n">
        <v>47</v>
      </c>
      <c r="J25" s="8" t="n">
        <v>46</v>
      </c>
      <c r="K25" s="8" t="n">
        <v>47</v>
      </c>
      <c r="L25" s="8" t="n">
        <v>46</v>
      </c>
      <c r="M25" s="8" t="n">
        <v>48</v>
      </c>
      <c r="N25" s="8" t="n">
        <v>48</v>
      </c>
      <c r="O25" s="8" t="n">
        <v>48</v>
      </c>
      <c r="P25" s="8" t="n">
        <v>47</v>
      </c>
      <c r="Q25" s="8" t="n">
        <v>47</v>
      </c>
      <c r="R25" s="8" t="n">
        <v>47</v>
      </c>
      <c r="S25" s="8" t="n">
        <v>47</v>
      </c>
      <c r="T25" s="8" t="n">
        <v>47</v>
      </c>
      <c r="U25" s="8" t="n">
        <v>48</v>
      </c>
      <c r="V25" s="8" t="n">
        <v>48</v>
      </c>
      <c r="W25" s="8" t="n">
        <v>48</v>
      </c>
      <c r="X25" s="8" t="n">
        <v>48</v>
      </c>
      <c r="Y25" s="8" t="n">
        <v>47</v>
      </c>
      <c r="Z25" s="8" t="n">
        <v>47</v>
      </c>
      <c r="AA25" s="8" t="n">
        <v>48</v>
      </c>
      <c r="AB25" s="8" t="n">
        <v>48</v>
      </c>
      <c r="AC25" s="8" t="n">
        <v>48</v>
      </c>
      <c r="AD25" s="8" t="n">
        <v>47</v>
      </c>
      <c r="AE25" s="8" t="n">
        <v>47</v>
      </c>
      <c r="AF25" s="8" t="n">
        <v>47.37</v>
      </c>
    </row>
    <row r="26">
      <c r="A26" s="14" t="inlineStr">
        <is>
          <t>23611780183</t>
        </is>
      </c>
      <c r="B26" s="14" t="inlineStr">
        <is>
          <t>13</t>
        </is>
      </c>
      <c r="C26" s="26" t="inlineStr">
        <is>
          <t>CHAUDHARI CHIRAG SANJAY</t>
        </is>
      </c>
      <c r="E26" s="8" t="n">
        <v>45</v>
      </c>
      <c r="F26" s="8" t="n">
        <v>45</v>
      </c>
      <c r="G26" s="8" t="n">
        <v>45</v>
      </c>
      <c r="H26" s="8" t="n">
        <v>45</v>
      </c>
      <c r="I26" s="8" t="n">
        <v>45</v>
      </c>
      <c r="J26" s="8" t="n">
        <v>45</v>
      </c>
      <c r="K26" s="8" t="n">
        <v>45</v>
      </c>
      <c r="L26" s="8" t="n">
        <v>45</v>
      </c>
      <c r="M26" s="8" t="n">
        <v>45</v>
      </c>
      <c r="N26" s="8" t="n">
        <v>45</v>
      </c>
      <c r="O26" s="8" t="n">
        <v>45</v>
      </c>
      <c r="P26" s="8" t="n">
        <v>44</v>
      </c>
      <c r="Q26" s="8" t="n">
        <v>45</v>
      </c>
      <c r="R26" s="8" t="n">
        <v>45</v>
      </c>
      <c r="S26" s="8" t="n">
        <v>45</v>
      </c>
      <c r="T26" s="8" t="n">
        <v>45</v>
      </c>
      <c r="U26" s="8" t="n">
        <v>45</v>
      </c>
      <c r="V26" s="8" t="n">
        <v>45</v>
      </c>
      <c r="W26" s="8" t="n">
        <v>45</v>
      </c>
      <c r="X26" s="8" t="n">
        <v>45</v>
      </c>
      <c r="Y26" s="8" t="n">
        <v>45</v>
      </c>
      <c r="Z26" s="8" t="n">
        <v>46</v>
      </c>
      <c r="AA26" s="8" t="n">
        <v>46</v>
      </c>
      <c r="AB26" s="8" t="n">
        <v>46</v>
      </c>
      <c r="AC26" s="8" t="n">
        <v>46</v>
      </c>
      <c r="AD26" s="8" t="n">
        <v>46</v>
      </c>
      <c r="AE26" s="8" t="n">
        <v>46</v>
      </c>
      <c r="AF26" s="8" t="n">
        <v>45.19</v>
      </c>
    </row>
    <row r="27">
      <c r="A27" s="14" t="inlineStr">
        <is>
          <t>23611780184</t>
        </is>
      </c>
      <c r="B27" s="14" t="inlineStr">
        <is>
          <t>14</t>
        </is>
      </c>
      <c r="C27" s="26" t="inlineStr">
        <is>
          <t>AHIRRAO SARVESH SUNIL</t>
        </is>
      </c>
      <c r="E27" s="8" t="n">
        <v>45</v>
      </c>
      <c r="F27" s="8" t="n">
        <v>45</v>
      </c>
      <c r="G27" s="8" t="n">
        <v>45</v>
      </c>
      <c r="H27" s="8" t="n">
        <v>45</v>
      </c>
      <c r="I27" s="8" t="n">
        <v>45</v>
      </c>
      <c r="J27" s="8" t="n">
        <v>45</v>
      </c>
      <c r="K27" s="8" t="n">
        <v>45</v>
      </c>
      <c r="L27" s="8" t="n">
        <v>45</v>
      </c>
      <c r="M27" s="8" t="n">
        <v>45</v>
      </c>
      <c r="N27" s="8" t="n">
        <v>45</v>
      </c>
      <c r="O27" s="8" t="n">
        <v>45</v>
      </c>
      <c r="P27" s="8" t="n">
        <v>44</v>
      </c>
      <c r="Q27" s="8" t="n">
        <v>45</v>
      </c>
      <c r="R27" s="8" t="n">
        <v>45</v>
      </c>
      <c r="S27" s="8" t="n">
        <v>45</v>
      </c>
      <c r="T27" s="8" t="n">
        <v>45</v>
      </c>
      <c r="U27" s="8" t="n">
        <v>45</v>
      </c>
      <c r="V27" s="8" t="n">
        <v>45</v>
      </c>
      <c r="W27" s="8" t="n">
        <v>45</v>
      </c>
      <c r="X27" s="8" t="n">
        <v>45</v>
      </c>
      <c r="Y27" s="8" t="n">
        <v>45</v>
      </c>
      <c r="Z27" s="8" t="n">
        <v>46</v>
      </c>
      <c r="AA27" s="8" t="n">
        <v>46</v>
      </c>
      <c r="AB27" s="8" t="n">
        <v>46</v>
      </c>
      <c r="AC27" s="8" t="n">
        <v>46</v>
      </c>
      <c r="AD27" s="8" t="n">
        <v>46</v>
      </c>
      <c r="AE27" s="8" t="n">
        <v>46</v>
      </c>
      <c r="AF27" s="8" t="n">
        <v>45.19</v>
      </c>
    </row>
    <row r="28">
      <c r="A28" s="14" t="inlineStr">
        <is>
          <t>23611780185</t>
        </is>
      </c>
      <c r="B28" s="14" t="inlineStr">
        <is>
          <t>15</t>
        </is>
      </c>
      <c r="C28" s="26" t="inlineStr">
        <is>
          <t>SHEJOLE ANSHU SUNIL</t>
        </is>
      </c>
      <c r="E28" s="8" t="n">
        <v>46</v>
      </c>
      <c r="F28" s="8" t="n">
        <v>46</v>
      </c>
      <c r="G28" s="8" t="n">
        <v>47</v>
      </c>
      <c r="H28" s="8" t="n">
        <v>47</v>
      </c>
      <c r="I28" s="8" t="n">
        <v>47</v>
      </c>
      <c r="J28" s="8" t="n">
        <v>47</v>
      </c>
      <c r="K28" s="8" t="n">
        <v>47</v>
      </c>
      <c r="L28" s="8" t="n">
        <v>46</v>
      </c>
      <c r="M28" s="8" t="n">
        <v>46</v>
      </c>
      <c r="N28" s="8" t="n">
        <v>46</v>
      </c>
      <c r="O28" s="8" t="n">
        <v>48</v>
      </c>
      <c r="P28" s="8" t="n">
        <v>48</v>
      </c>
      <c r="Q28" s="8" t="n">
        <v>46</v>
      </c>
      <c r="R28" s="8" t="n">
        <v>47</v>
      </c>
      <c r="S28" s="8" t="n">
        <v>47</v>
      </c>
      <c r="T28" s="8" t="n">
        <v>47</v>
      </c>
      <c r="U28" s="8" t="n">
        <v>47</v>
      </c>
      <c r="V28" s="8" t="n">
        <v>47</v>
      </c>
      <c r="W28" s="8" t="n">
        <v>47</v>
      </c>
      <c r="X28" s="8" t="n">
        <v>48</v>
      </c>
      <c r="Y28" s="8" t="n">
        <v>48</v>
      </c>
      <c r="Z28" s="8" t="n">
        <v>48</v>
      </c>
      <c r="AA28" s="8" t="n">
        <v>47</v>
      </c>
      <c r="AB28" s="8" t="n">
        <v>47</v>
      </c>
      <c r="AC28" s="8" t="n">
        <v>48</v>
      </c>
      <c r="AD28" s="8" t="n">
        <v>48</v>
      </c>
      <c r="AE28" s="8" t="n">
        <v>48</v>
      </c>
      <c r="AF28" s="8" t="n">
        <v>47.07</v>
      </c>
    </row>
    <row r="29">
      <c r="A29" s="14" t="inlineStr">
        <is>
          <t>23611780186</t>
        </is>
      </c>
      <c r="B29" s="14" t="inlineStr">
        <is>
          <t>16</t>
        </is>
      </c>
      <c r="C29" s="26" t="inlineStr">
        <is>
          <t>SHAIKH FARHEEN HUSSAIN M.</t>
        </is>
      </c>
      <c r="E29" s="8" t="n">
        <v>46</v>
      </c>
      <c r="F29" s="8" t="n">
        <v>47</v>
      </c>
      <c r="G29" s="8" t="n">
        <v>47</v>
      </c>
      <c r="H29" s="8" t="n">
        <v>47</v>
      </c>
      <c r="I29" s="8" t="n">
        <v>47</v>
      </c>
      <c r="J29" s="8" t="n">
        <v>47</v>
      </c>
      <c r="K29" s="8" t="n">
        <v>47</v>
      </c>
      <c r="L29" s="8" t="n">
        <v>48</v>
      </c>
      <c r="M29" s="8" t="n">
        <v>48</v>
      </c>
      <c r="N29" s="8" t="n">
        <v>48</v>
      </c>
      <c r="O29" s="8" t="n">
        <v>48</v>
      </c>
      <c r="P29" s="8" t="n">
        <v>48</v>
      </c>
      <c r="Q29" s="8" t="n">
        <v>48</v>
      </c>
      <c r="R29" s="8" t="n">
        <v>48</v>
      </c>
      <c r="S29" s="8" t="n">
        <v>47</v>
      </c>
      <c r="T29" s="8" t="n">
        <v>48</v>
      </c>
      <c r="U29" s="8" t="n">
        <v>48</v>
      </c>
      <c r="V29" s="8" t="n">
        <v>48</v>
      </c>
      <c r="W29" s="8" t="n">
        <v>48</v>
      </c>
      <c r="X29" s="8" t="n">
        <v>48</v>
      </c>
      <c r="Y29" s="8" t="n">
        <v>48</v>
      </c>
      <c r="Z29" s="8" t="n">
        <v>47</v>
      </c>
      <c r="AA29" s="8" t="n">
        <v>48</v>
      </c>
      <c r="AB29" s="8" t="n">
        <v>47</v>
      </c>
      <c r="AC29" s="8" t="n">
        <v>48</v>
      </c>
      <c r="AD29" s="8" t="n">
        <v>48</v>
      </c>
      <c r="AE29" s="8" t="n">
        <v>48</v>
      </c>
      <c r="AF29" s="8" t="n">
        <v>47.59</v>
      </c>
    </row>
    <row r="30">
      <c r="A30" s="14" t="inlineStr">
        <is>
          <t>23611780187</t>
        </is>
      </c>
      <c r="B30" s="14" t="inlineStr">
        <is>
          <t>17</t>
        </is>
      </c>
      <c r="C30" s="26" t="inlineStr">
        <is>
          <t>PURE SHREYAS SUBHASH</t>
        </is>
      </c>
      <c r="E30" s="8" t="n">
        <v>45</v>
      </c>
      <c r="F30" s="8" t="n">
        <v>45</v>
      </c>
      <c r="G30" s="8" t="n">
        <v>45</v>
      </c>
      <c r="H30" s="8" t="n">
        <v>45</v>
      </c>
      <c r="I30" s="8" t="n">
        <v>45</v>
      </c>
      <c r="J30" s="8" t="n">
        <v>45</v>
      </c>
      <c r="K30" s="8" t="n">
        <v>45</v>
      </c>
      <c r="L30" s="8" t="n">
        <v>45</v>
      </c>
      <c r="M30" s="8" t="n">
        <v>45</v>
      </c>
      <c r="N30" s="8" t="n">
        <v>45</v>
      </c>
      <c r="O30" s="8" t="n">
        <v>45</v>
      </c>
      <c r="P30" s="8" t="n">
        <v>44</v>
      </c>
      <c r="Q30" s="8" t="n">
        <v>45</v>
      </c>
      <c r="R30" s="8" t="n">
        <v>45</v>
      </c>
      <c r="S30" s="8" t="n">
        <v>45</v>
      </c>
      <c r="T30" s="8" t="n">
        <v>45</v>
      </c>
      <c r="U30" s="8" t="n">
        <v>45</v>
      </c>
      <c r="V30" s="8" t="n">
        <v>45</v>
      </c>
      <c r="W30" s="8" t="n">
        <v>45</v>
      </c>
      <c r="X30" s="8" t="n">
        <v>45</v>
      </c>
      <c r="Y30" s="8" t="n">
        <v>45</v>
      </c>
      <c r="Z30" s="8" t="n">
        <v>46</v>
      </c>
      <c r="AA30" s="8" t="n">
        <v>46</v>
      </c>
      <c r="AB30" s="8" t="n">
        <v>46</v>
      </c>
      <c r="AC30" s="8" t="n">
        <v>46</v>
      </c>
      <c r="AD30" s="8" t="n">
        <v>46</v>
      </c>
      <c r="AE30" s="8" t="n">
        <v>46</v>
      </c>
      <c r="AF30" s="8" t="n">
        <v>45.19</v>
      </c>
    </row>
    <row r="31">
      <c r="A31" s="14" t="inlineStr">
        <is>
          <t>23611780188</t>
        </is>
      </c>
      <c r="B31" s="14" t="inlineStr">
        <is>
          <t>18</t>
        </is>
      </c>
      <c r="C31" s="26" t="inlineStr">
        <is>
          <t>GANGURDE HEMANT HARI</t>
        </is>
      </c>
      <c r="E31" s="8" t="n">
        <v>44</v>
      </c>
      <c r="F31" s="8" t="n">
        <v>45</v>
      </c>
      <c r="G31" s="8" t="n">
        <v>45</v>
      </c>
      <c r="H31" s="8" t="n">
        <v>46</v>
      </c>
      <c r="I31" s="8" t="n">
        <v>45</v>
      </c>
      <c r="J31" s="8" t="n">
        <v>45</v>
      </c>
      <c r="K31" s="8" t="n">
        <v>45</v>
      </c>
      <c r="L31" s="8" t="n">
        <v>45</v>
      </c>
      <c r="M31" s="8" t="n">
        <v>45</v>
      </c>
      <c r="N31" s="8" t="n">
        <v>45</v>
      </c>
      <c r="O31" s="8" t="n">
        <v>46</v>
      </c>
      <c r="P31" s="8" t="n">
        <v>46</v>
      </c>
      <c r="Q31" s="8" t="n">
        <v>46</v>
      </c>
      <c r="R31" s="8" t="n">
        <v>45</v>
      </c>
      <c r="S31" s="8" t="n">
        <v>44</v>
      </c>
      <c r="T31" s="8" t="n">
        <v>44</v>
      </c>
      <c r="U31" s="8" t="n">
        <v>44</v>
      </c>
      <c r="V31" s="8" t="n">
        <v>46</v>
      </c>
      <c r="W31" s="8" t="n">
        <v>45</v>
      </c>
      <c r="X31" s="8" t="n">
        <v>45</v>
      </c>
      <c r="Y31" s="8" t="n">
        <v>45</v>
      </c>
      <c r="Z31" s="8" t="n">
        <v>44</v>
      </c>
      <c r="AA31" s="8" t="n">
        <v>45</v>
      </c>
      <c r="AB31" s="8" t="n">
        <v>45</v>
      </c>
      <c r="AC31" s="8" t="n">
        <v>45</v>
      </c>
      <c r="AD31" s="8" t="n">
        <v>45</v>
      </c>
      <c r="AE31" s="8" t="n">
        <v>45</v>
      </c>
      <c r="AF31" s="8" t="n">
        <v>45</v>
      </c>
    </row>
    <row r="32">
      <c r="A32" s="14" t="inlineStr">
        <is>
          <t>23611780189</t>
        </is>
      </c>
      <c r="B32" s="14" t="inlineStr">
        <is>
          <t>19</t>
        </is>
      </c>
      <c r="C32" s="26" t="inlineStr">
        <is>
          <t>KOR LOKESH SATISH</t>
        </is>
      </c>
      <c r="E32" s="8" t="n">
        <v>44</v>
      </c>
      <c r="F32" s="8" t="n">
        <v>45</v>
      </c>
      <c r="G32" s="8" t="n">
        <v>45</v>
      </c>
      <c r="H32" s="8" t="n">
        <v>46</v>
      </c>
      <c r="I32" s="8" t="n">
        <v>45</v>
      </c>
      <c r="J32" s="8" t="n">
        <v>45</v>
      </c>
      <c r="K32" s="8" t="n">
        <v>45</v>
      </c>
      <c r="L32" s="8" t="n">
        <v>45</v>
      </c>
      <c r="M32" s="8" t="n">
        <v>45</v>
      </c>
      <c r="N32" s="8" t="n">
        <v>45</v>
      </c>
      <c r="O32" s="8" t="n">
        <v>46</v>
      </c>
      <c r="P32" s="8" t="n">
        <v>46</v>
      </c>
      <c r="Q32" s="8" t="n">
        <v>46</v>
      </c>
      <c r="R32" s="8" t="n">
        <v>45</v>
      </c>
      <c r="S32" s="8" t="n">
        <v>44</v>
      </c>
      <c r="T32" s="8" t="n">
        <v>44</v>
      </c>
      <c r="U32" s="8" t="n">
        <v>44</v>
      </c>
      <c r="V32" s="8" t="n">
        <v>46</v>
      </c>
      <c r="W32" s="8" t="n">
        <v>45</v>
      </c>
      <c r="X32" s="8" t="n">
        <v>45</v>
      </c>
      <c r="Y32" s="8" t="n">
        <v>45</v>
      </c>
      <c r="Z32" s="8" t="n">
        <v>44</v>
      </c>
      <c r="AA32" s="8" t="n">
        <v>45</v>
      </c>
      <c r="AB32" s="8" t="n">
        <v>45</v>
      </c>
      <c r="AC32" s="8" t="n">
        <v>45</v>
      </c>
      <c r="AD32" s="8" t="n">
        <v>45</v>
      </c>
      <c r="AE32" s="8" t="n">
        <v>45</v>
      </c>
      <c r="AF32" s="8" t="n">
        <v>45</v>
      </c>
    </row>
    <row r="33">
      <c r="A33" s="14" t="inlineStr">
        <is>
          <t>23611780190</t>
        </is>
      </c>
      <c r="B33" s="14" t="inlineStr">
        <is>
          <t>20</t>
        </is>
      </c>
      <c r="C33" s="26" t="inlineStr">
        <is>
          <t>DEORE VAISHNAVI DILIP</t>
        </is>
      </c>
      <c r="E33" s="8" t="n">
        <v>44</v>
      </c>
      <c r="F33" s="8" t="n">
        <v>43</v>
      </c>
      <c r="G33" s="8" t="n">
        <v>43</v>
      </c>
      <c r="H33" s="8" t="n">
        <v>44</v>
      </c>
      <c r="I33" s="8" t="n">
        <v>44</v>
      </c>
      <c r="J33" s="8" t="n">
        <v>44</v>
      </c>
      <c r="K33" s="8" t="n">
        <v>44</v>
      </c>
      <c r="L33" s="8" t="n">
        <v>44</v>
      </c>
      <c r="M33" s="8" t="n">
        <v>45</v>
      </c>
      <c r="N33" s="8" t="n">
        <v>44</v>
      </c>
      <c r="O33" s="8" t="n">
        <v>45</v>
      </c>
      <c r="P33" s="8" t="n">
        <v>45</v>
      </c>
      <c r="Q33" s="8" t="n">
        <v>45</v>
      </c>
      <c r="R33" s="8" t="n">
        <v>45</v>
      </c>
      <c r="S33" s="8" t="n">
        <v>45</v>
      </c>
      <c r="T33" s="8" t="n">
        <v>45</v>
      </c>
      <c r="U33" s="8" t="n">
        <v>45</v>
      </c>
      <c r="V33" s="8" t="n">
        <v>45</v>
      </c>
      <c r="W33" s="8" t="n">
        <v>45</v>
      </c>
      <c r="X33" s="8" t="n">
        <v>45</v>
      </c>
      <c r="Y33" s="8" t="n">
        <v>44</v>
      </c>
      <c r="Z33" s="8" t="n">
        <v>45</v>
      </c>
      <c r="AA33" s="8" t="n">
        <v>44</v>
      </c>
      <c r="AB33" s="8" t="n">
        <v>44</v>
      </c>
      <c r="AC33" s="8" t="n">
        <v>44</v>
      </c>
      <c r="AD33" s="8" t="n">
        <v>44</v>
      </c>
      <c r="AE33" s="8" t="n">
        <v>44</v>
      </c>
      <c r="AF33" s="8" t="n">
        <v>44.37</v>
      </c>
    </row>
    <row r="34">
      <c r="A34" s="14" t="inlineStr">
        <is>
          <t>23611780191</t>
        </is>
      </c>
      <c r="B34" s="14" t="inlineStr">
        <is>
          <t>21</t>
        </is>
      </c>
      <c r="C34" s="26" t="inlineStr">
        <is>
          <t>MAHAJAN RADHIKA KANTILAL</t>
        </is>
      </c>
      <c r="E34" s="8" t="n">
        <v>45</v>
      </c>
      <c r="F34" s="8" t="n">
        <v>45</v>
      </c>
      <c r="G34" s="8" t="n">
        <v>44</v>
      </c>
      <c r="H34" s="8" t="n">
        <v>45</v>
      </c>
      <c r="I34" s="8" t="n">
        <v>44</v>
      </c>
      <c r="J34" s="8" t="n">
        <v>45</v>
      </c>
      <c r="K34" s="8" t="n">
        <v>44</v>
      </c>
      <c r="L34" s="8" t="n">
        <v>45</v>
      </c>
      <c r="M34" s="8" t="n">
        <v>44</v>
      </c>
      <c r="N34" s="8" t="n">
        <v>45</v>
      </c>
      <c r="O34" s="8" t="n">
        <v>45</v>
      </c>
      <c r="P34" s="8" t="n">
        <v>46</v>
      </c>
      <c r="Q34" s="8" t="n">
        <v>46</v>
      </c>
      <c r="R34" s="8" t="n">
        <v>44</v>
      </c>
      <c r="S34" s="8" t="n">
        <v>45</v>
      </c>
      <c r="T34" s="8" t="n">
        <v>45</v>
      </c>
      <c r="U34" s="8" t="n">
        <v>45</v>
      </c>
      <c r="V34" s="8" t="n">
        <v>44</v>
      </c>
      <c r="W34" s="8" t="n">
        <v>45</v>
      </c>
      <c r="X34" s="8" t="n">
        <v>45</v>
      </c>
      <c r="Y34" s="8" t="n">
        <v>46</v>
      </c>
      <c r="Z34" s="8" t="n">
        <v>45</v>
      </c>
      <c r="AA34" s="8" t="n">
        <v>45</v>
      </c>
      <c r="AB34" s="8" t="n">
        <v>45</v>
      </c>
      <c r="AC34" s="8" t="n">
        <v>45</v>
      </c>
      <c r="AD34" s="8" t="n">
        <v>45</v>
      </c>
      <c r="AE34" s="8" t="n">
        <v>45</v>
      </c>
      <c r="AF34" s="8" t="n">
        <v>44.89</v>
      </c>
    </row>
    <row r="35">
      <c r="A35" s="14" t="inlineStr">
        <is>
          <t>23611780192</t>
        </is>
      </c>
      <c r="B35" s="14" t="inlineStr">
        <is>
          <t>22</t>
        </is>
      </c>
      <c r="C35" s="26" t="inlineStr">
        <is>
          <t>DESHMANE PURVA SANTOSH</t>
        </is>
      </c>
      <c r="E35" s="8" t="n">
        <v>46</v>
      </c>
      <c r="F35" s="8" t="n">
        <v>47</v>
      </c>
      <c r="G35" s="8" t="n">
        <v>46</v>
      </c>
      <c r="H35" s="8" t="n">
        <v>47</v>
      </c>
      <c r="I35" s="8" t="n">
        <v>47</v>
      </c>
      <c r="J35" s="8" t="n">
        <v>48</v>
      </c>
      <c r="K35" s="8" t="n">
        <v>47</v>
      </c>
      <c r="L35" s="8" t="n">
        <v>47</v>
      </c>
      <c r="M35" s="8" t="n">
        <v>47</v>
      </c>
      <c r="N35" s="8" t="n">
        <v>46</v>
      </c>
      <c r="O35" s="8" t="n">
        <v>47</v>
      </c>
      <c r="P35" s="8" t="n">
        <v>47</v>
      </c>
      <c r="Q35" s="8" t="n">
        <v>46</v>
      </c>
      <c r="R35" s="8" t="n">
        <v>46</v>
      </c>
      <c r="S35" s="8" t="n">
        <v>46</v>
      </c>
      <c r="T35" s="8" t="n">
        <v>47</v>
      </c>
      <c r="U35" s="8" t="n">
        <v>47</v>
      </c>
      <c r="V35" s="8" t="n">
        <v>47</v>
      </c>
      <c r="W35" s="8" t="n">
        <v>48</v>
      </c>
      <c r="X35" s="8" t="n">
        <v>47</v>
      </c>
      <c r="Y35" s="8" t="n">
        <v>47</v>
      </c>
      <c r="Z35" s="8" t="n">
        <v>47</v>
      </c>
      <c r="AA35" s="8" t="n">
        <v>47</v>
      </c>
      <c r="AB35" s="8" t="n">
        <v>47</v>
      </c>
      <c r="AC35" s="8" t="n">
        <v>47</v>
      </c>
      <c r="AD35" s="8" t="n">
        <v>47</v>
      </c>
      <c r="AE35" s="8" t="n">
        <v>47</v>
      </c>
      <c r="AF35" s="8" t="n">
        <v>46.85</v>
      </c>
    </row>
    <row r="36">
      <c r="A36" s="14" t="inlineStr">
        <is>
          <t>23611780193</t>
        </is>
      </c>
      <c r="B36" s="14" t="inlineStr">
        <is>
          <t>23</t>
        </is>
      </c>
      <c r="C36" s="26" t="inlineStr">
        <is>
          <t>CHITTE GRISHMA RAVINDRA</t>
        </is>
      </c>
      <c r="E36" s="8" t="n">
        <v>47</v>
      </c>
      <c r="F36" s="8" t="n">
        <v>48</v>
      </c>
      <c r="G36" s="8" t="n">
        <v>47</v>
      </c>
      <c r="H36" s="8" t="n">
        <v>48</v>
      </c>
      <c r="I36" s="8" t="n">
        <v>48</v>
      </c>
      <c r="J36" s="8" t="n">
        <v>48</v>
      </c>
      <c r="K36" s="8" t="n">
        <v>48</v>
      </c>
      <c r="L36" s="8" t="n">
        <v>47</v>
      </c>
      <c r="M36" s="8" t="n">
        <v>48</v>
      </c>
      <c r="N36" s="8" t="n">
        <v>48</v>
      </c>
      <c r="O36" s="8" t="n">
        <v>48</v>
      </c>
      <c r="P36" s="8" t="n">
        <v>48</v>
      </c>
      <c r="Q36" s="8" t="n">
        <v>48</v>
      </c>
      <c r="R36" s="8" t="n">
        <v>48</v>
      </c>
      <c r="S36" s="8" t="n">
        <v>48</v>
      </c>
      <c r="T36" s="8" t="n">
        <v>48</v>
      </c>
      <c r="U36" s="8" t="n">
        <v>48</v>
      </c>
      <c r="V36" s="8" t="n">
        <v>48</v>
      </c>
      <c r="W36" s="8" t="n">
        <v>48</v>
      </c>
      <c r="X36" s="8" t="n">
        <v>48</v>
      </c>
      <c r="Y36" s="8" t="n">
        <v>47</v>
      </c>
      <c r="Z36" s="8" t="n">
        <v>47</v>
      </c>
      <c r="AA36" s="8" t="n">
        <v>47</v>
      </c>
      <c r="AB36" s="8" t="n">
        <v>47</v>
      </c>
      <c r="AC36" s="8" t="n">
        <v>47</v>
      </c>
      <c r="AD36" s="8" t="n">
        <v>47</v>
      </c>
      <c r="AE36" s="8" t="n">
        <v>47</v>
      </c>
      <c r="AF36" s="8" t="n">
        <v>47.63</v>
      </c>
    </row>
    <row r="37">
      <c r="A37" s="14" t="inlineStr">
        <is>
          <t>23611780194</t>
        </is>
      </c>
      <c r="B37" s="14" t="inlineStr">
        <is>
          <t>24</t>
        </is>
      </c>
      <c r="C37" s="26" t="inlineStr">
        <is>
          <t>JADHAV SHUBHAM T.</t>
        </is>
      </c>
      <c r="E37" s="8" t="n">
        <v>42</v>
      </c>
      <c r="F37" s="8" t="n">
        <v>42</v>
      </c>
      <c r="G37" s="8" t="n">
        <v>42</v>
      </c>
      <c r="H37" s="8" t="n">
        <v>42</v>
      </c>
      <c r="I37" s="8" t="n">
        <v>42</v>
      </c>
      <c r="J37" s="8" t="n">
        <v>42</v>
      </c>
      <c r="K37" s="8" t="n">
        <v>42</v>
      </c>
      <c r="L37" s="8" t="n">
        <v>42</v>
      </c>
      <c r="M37" s="8" t="n">
        <v>42</v>
      </c>
      <c r="N37" s="8" t="n">
        <v>41</v>
      </c>
      <c r="O37" s="8" t="n">
        <v>41</v>
      </c>
      <c r="P37" s="8" t="n">
        <v>41</v>
      </c>
      <c r="Q37" s="8" t="n">
        <v>41</v>
      </c>
      <c r="R37" s="8" t="n">
        <v>41</v>
      </c>
      <c r="S37" s="8" t="n">
        <v>41</v>
      </c>
      <c r="T37" s="8" t="n">
        <v>41</v>
      </c>
      <c r="U37" s="8" t="n">
        <v>41</v>
      </c>
      <c r="V37" s="8" t="n">
        <v>41</v>
      </c>
      <c r="W37" s="8" t="n">
        <v>41</v>
      </c>
      <c r="X37" s="8" t="n">
        <v>41</v>
      </c>
      <c r="Y37" s="8" t="n">
        <v>41</v>
      </c>
      <c r="Z37" s="8" t="n">
        <v>41</v>
      </c>
      <c r="AA37" s="8" t="n">
        <v>41</v>
      </c>
      <c r="AB37" s="8" t="n">
        <v>41</v>
      </c>
      <c r="AC37" s="8" t="n">
        <v>42</v>
      </c>
      <c r="AD37" s="8" t="n">
        <v>42</v>
      </c>
      <c r="AE37" s="8" t="n">
        <v>42</v>
      </c>
      <c r="AF37" s="8" t="n">
        <v>41.44</v>
      </c>
    </row>
    <row r="38">
      <c r="A38" s="14" t="inlineStr">
        <is>
          <t>23611780195</t>
        </is>
      </c>
      <c r="B38" s="14" t="inlineStr">
        <is>
          <t>25</t>
        </is>
      </c>
      <c r="C38" s="26" t="inlineStr">
        <is>
          <t>PAWAR KARANSING J.</t>
        </is>
      </c>
      <c r="E38" s="8" t="n">
        <v>45</v>
      </c>
      <c r="F38" s="8" t="n">
        <v>45</v>
      </c>
      <c r="G38" s="8" t="n">
        <v>45</v>
      </c>
      <c r="H38" s="8" t="n">
        <v>45</v>
      </c>
      <c r="I38" s="8" t="n">
        <v>45</v>
      </c>
      <c r="J38" s="8" t="n">
        <v>45</v>
      </c>
      <c r="K38" s="8" t="n">
        <v>45</v>
      </c>
      <c r="L38" s="8" t="n">
        <v>46</v>
      </c>
      <c r="M38" s="8" t="n">
        <v>45</v>
      </c>
      <c r="N38" s="8" t="n">
        <v>46</v>
      </c>
      <c r="O38" s="8" t="n">
        <v>45</v>
      </c>
      <c r="P38" s="8" t="n">
        <v>45</v>
      </c>
      <c r="Q38" s="8" t="n">
        <v>45</v>
      </c>
      <c r="R38" s="8" t="n">
        <v>45</v>
      </c>
      <c r="S38" s="8" t="n">
        <v>45</v>
      </c>
      <c r="T38" s="8" t="n">
        <v>46</v>
      </c>
      <c r="U38" s="8" t="n">
        <v>46</v>
      </c>
      <c r="V38" s="8" t="n">
        <v>46</v>
      </c>
      <c r="W38" s="8" t="n">
        <v>45</v>
      </c>
      <c r="X38" s="8" t="n">
        <v>45</v>
      </c>
      <c r="Y38" s="8" t="n">
        <v>46</v>
      </c>
      <c r="Z38" s="8" t="n">
        <v>46</v>
      </c>
      <c r="AA38" s="8" t="n">
        <v>46</v>
      </c>
      <c r="AB38" s="8" t="n">
        <v>45</v>
      </c>
      <c r="AC38" s="8" t="n">
        <v>45</v>
      </c>
      <c r="AD38" s="8" t="n">
        <v>45</v>
      </c>
      <c r="AE38" s="8" t="n">
        <v>45</v>
      </c>
      <c r="AF38" s="8" t="n">
        <v>45.3</v>
      </c>
    </row>
    <row r="39">
      <c r="A39" s="14" t="inlineStr">
        <is>
          <t>23611780196</t>
        </is>
      </c>
      <c r="B39" s="14" t="inlineStr">
        <is>
          <t>26</t>
        </is>
      </c>
      <c r="C39" s="26" t="inlineStr">
        <is>
          <t>GADHARI KIRTI DATTU</t>
        </is>
      </c>
      <c r="E39" s="8" t="n">
        <v>44</v>
      </c>
      <c r="F39" s="8" t="n">
        <v>44</v>
      </c>
      <c r="G39" s="8" t="n">
        <v>44</v>
      </c>
      <c r="H39" s="8" t="n">
        <v>45</v>
      </c>
      <c r="I39" s="8" t="n">
        <v>44</v>
      </c>
      <c r="J39" s="8" t="n">
        <v>45</v>
      </c>
      <c r="K39" s="8" t="n">
        <v>46</v>
      </c>
      <c r="L39" s="8" t="n">
        <v>46</v>
      </c>
      <c r="M39" s="8" t="n">
        <v>45</v>
      </c>
      <c r="N39" s="8" t="n">
        <v>45</v>
      </c>
      <c r="O39" s="8" t="n">
        <v>45</v>
      </c>
      <c r="P39" s="8" t="n">
        <v>45</v>
      </c>
      <c r="Q39" s="8" t="n">
        <v>45</v>
      </c>
      <c r="R39" s="8" t="n">
        <v>45</v>
      </c>
      <c r="S39" s="8" t="n">
        <v>45</v>
      </c>
      <c r="T39" s="8" t="n">
        <v>45</v>
      </c>
      <c r="U39" s="8" t="n">
        <v>45</v>
      </c>
      <c r="V39" s="8" t="n">
        <v>45</v>
      </c>
      <c r="W39" s="8" t="n">
        <v>45</v>
      </c>
      <c r="X39" s="8" t="n">
        <v>45</v>
      </c>
      <c r="Y39" s="8" t="n">
        <v>45</v>
      </c>
      <c r="Z39" s="8" t="n">
        <v>45</v>
      </c>
      <c r="AA39" s="8" t="n">
        <v>45</v>
      </c>
      <c r="AB39" s="8" t="n">
        <v>45</v>
      </c>
      <c r="AC39" s="8" t="n">
        <v>45</v>
      </c>
      <c r="AD39" s="8" t="n">
        <v>45</v>
      </c>
      <c r="AE39" s="8" t="n">
        <v>45</v>
      </c>
      <c r="AF39" s="8" t="n">
        <v>44.93</v>
      </c>
    </row>
    <row r="40">
      <c r="A40" s="14" t="inlineStr">
        <is>
          <t>23611780197</t>
        </is>
      </c>
      <c r="B40" s="14" t="inlineStr">
        <is>
          <t>27</t>
        </is>
      </c>
      <c r="C40" s="26" t="inlineStr">
        <is>
          <t>MORE ADITYA SANJAY</t>
        </is>
      </c>
      <c r="E40" s="8" t="n">
        <v>45</v>
      </c>
      <c r="F40" s="8" t="n">
        <v>46</v>
      </c>
      <c r="G40" s="8" t="n">
        <v>46</v>
      </c>
      <c r="H40" s="8" t="n">
        <v>45</v>
      </c>
      <c r="I40" s="8" t="n">
        <v>46</v>
      </c>
      <c r="J40" s="8" t="n">
        <v>45</v>
      </c>
      <c r="K40" s="8" t="n">
        <v>46</v>
      </c>
      <c r="L40" s="8" t="n">
        <v>46</v>
      </c>
      <c r="M40" s="8" t="n">
        <v>46</v>
      </c>
      <c r="N40" s="8" t="n">
        <v>46</v>
      </c>
      <c r="O40" s="8" t="n">
        <v>46</v>
      </c>
      <c r="P40" s="8" t="n">
        <v>47</v>
      </c>
      <c r="Q40" s="8" t="n">
        <v>47</v>
      </c>
      <c r="R40" s="8" t="n">
        <v>46</v>
      </c>
      <c r="S40" s="8" t="n">
        <v>46</v>
      </c>
      <c r="T40" s="8" t="n">
        <v>48</v>
      </c>
      <c r="U40" s="8" t="n">
        <v>46</v>
      </c>
      <c r="V40" s="8" t="n">
        <v>46</v>
      </c>
      <c r="W40" s="8" t="n">
        <v>46</v>
      </c>
      <c r="X40" s="8" t="n">
        <v>46</v>
      </c>
      <c r="Y40" s="8" t="n">
        <v>46</v>
      </c>
      <c r="Z40" s="8" t="n">
        <v>46</v>
      </c>
      <c r="AA40" s="8" t="n">
        <v>46</v>
      </c>
      <c r="AB40" s="8" t="n">
        <v>47</v>
      </c>
      <c r="AC40" s="8" t="n">
        <v>48</v>
      </c>
      <c r="AD40" s="8" t="n">
        <v>47</v>
      </c>
      <c r="AE40" s="8" t="n">
        <v>47</v>
      </c>
      <c r="AF40" s="8" t="n">
        <v>46.22</v>
      </c>
    </row>
    <row r="41">
      <c r="A41" s="14" t="inlineStr">
        <is>
          <t>23611780198</t>
        </is>
      </c>
      <c r="B41" s="14" t="inlineStr">
        <is>
          <t>28</t>
        </is>
      </c>
      <c r="C41" s="26" t="inlineStr">
        <is>
          <t>DHIVARE BHAVESH GAUTAM</t>
        </is>
      </c>
      <c r="E41" s="8" t="n">
        <v>44</v>
      </c>
      <c r="F41" s="8" t="n">
        <v>44</v>
      </c>
      <c r="G41" s="8" t="n">
        <v>45</v>
      </c>
      <c r="H41" s="8" t="n">
        <v>44</v>
      </c>
      <c r="I41" s="8" t="n">
        <v>45</v>
      </c>
      <c r="J41" s="8" t="n">
        <v>45</v>
      </c>
      <c r="K41" s="8" t="n">
        <v>44</v>
      </c>
      <c r="L41" s="8" t="n">
        <v>46</v>
      </c>
      <c r="M41" s="8" t="n">
        <v>45</v>
      </c>
      <c r="N41" s="8" t="n">
        <v>44</v>
      </c>
      <c r="O41" s="8" t="n">
        <v>44</v>
      </c>
      <c r="P41" s="8" t="n">
        <v>45</v>
      </c>
      <c r="Q41" s="8" t="n">
        <v>45</v>
      </c>
      <c r="R41" s="8" t="n">
        <v>45</v>
      </c>
      <c r="S41" s="8" t="n">
        <v>45</v>
      </c>
      <c r="T41" s="8" t="n">
        <v>46</v>
      </c>
      <c r="U41" s="8" t="n">
        <v>46</v>
      </c>
      <c r="V41" s="8" t="n">
        <v>45</v>
      </c>
      <c r="W41" s="8" t="n">
        <v>45</v>
      </c>
      <c r="X41" s="8" t="n">
        <v>46</v>
      </c>
      <c r="Y41" s="8" t="n">
        <v>44</v>
      </c>
      <c r="Z41" s="8" t="n">
        <v>44</v>
      </c>
      <c r="AA41" s="8" t="n">
        <v>44</v>
      </c>
      <c r="AB41" s="8" t="n">
        <v>44</v>
      </c>
      <c r="AC41" s="8" t="n">
        <v>44</v>
      </c>
      <c r="AD41" s="8" t="n">
        <v>44</v>
      </c>
      <c r="AE41" s="8" t="n">
        <v>44</v>
      </c>
      <c r="AF41" s="8" t="n">
        <v>44.67</v>
      </c>
    </row>
    <row r="42">
      <c r="A42" s="14" t="inlineStr">
        <is>
          <t>23611780199</t>
        </is>
      </c>
      <c r="B42" s="14" t="inlineStr">
        <is>
          <t>29</t>
        </is>
      </c>
      <c r="C42" s="26" t="inlineStr">
        <is>
          <t>SAMUDRE PRATIK RAJENDRA</t>
        </is>
      </c>
      <c r="E42" s="8" t="n">
        <v>41</v>
      </c>
      <c r="F42" s="8" t="n">
        <v>41</v>
      </c>
      <c r="G42" s="8" t="n">
        <v>41</v>
      </c>
      <c r="H42" s="8" t="n">
        <v>41</v>
      </c>
      <c r="I42" s="8" t="n">
        <v>41</v>
      </c>
      <c r="J42" s="8" t="n">
        <v>41</v>
      </c>
      <c r="K42" s="8" t="n">
        <v>41</v>
      </c>
      <c r="L42" s="8" t="n">
        <v>41</v>
      </c>
      <c r="M42" s="8" t="n">
        <v>41</v>
      </c>
      <c r="N42" s="8" t="n">
        <v>41</v>
      </c>
      <c r="O42" s="8" t="n">
        <v>41</v>
      </c>
      <c r="P42" s="8" t="n">
        <v>41</v>
      </c>
      <c r="Q42" s="8" t="n">
        <v>42</v>
      </c>
      <c r="R42" s="8" t="n">
        <v>42</v>
      </c>
      <c r="S42" s="8" t="n">
        <v>42</v>
      </c>
      <c r="T42" s="8" t="n">
        <v>42</v>
      </c>
      <c r="U42" s="8" t="n">
        <v>42</v>
      </c>
      <c r="V42" s="8" t="n">
        <v>42</v>
      </c>
      <c r="W42" s="8" t="n">
        <v>42</v>
      </c>
      <c r="X42" s="8" t="n">
        <v>42</v>
      </c>
      <c r="Y42" s="8" t="n">
        <v>42</v>
      </c>
      <c r="Z42" s="8" t="n">
        <v>42</v>
      </c>
      <c r="AA42" s="8" t="n">
        <v>41</v>
      </c>
      <c r="AB42" s="8" t="n">
        <v>41</v>
      </c>
      <c r="AC42" s="8" t="n">
        <v>42</v>
      </c>
      <c r="AD42" s="8" t="n">
        <v>41</v>
      </c>
      <c r="AE42" s="8" t="n">
        <v>42</v>
      </c>
      <c r="AF42" s="8" t="n">
        <v>41.44</v>
      </c>
    </row>
    <row r="43">
      <c r="A43" s="14" t="inlineStr">
        <is>
          <t>23611780200</t>
        </is>
      </c>
      <c r="B43" s="14" t="inlineStr">
        <is>
          <t>30</t>
        </is>
      </c>
      <c r="C43" s="26" t="inlineStr">
        <is>
          <t>AHIRRAO MANASWI ANIL</t>
        </is>
      </c>
      <c r="E43" s="8" t="n">
        <v>45</v>
      </c>
      <c r="F43" s="8" t="n">
        <v>44</v>
      </c>
      <c r="G43" s="8" t="n">
        <v>44</v>
      </c>
      <c r="H43" s="8" t="n">
        <v>44</v>
      </c>
      <c r="I43" s="8" t="n">
        <v>44</v>
      </c>
      <c r="J43" s="8" t="n">
        <v>44</v>
      </c>
      <c r="K43" s="8" t="n">
        <v>45</v>
      </c>
      <c r="L43" s="8" t="n">
        <v>45</v>
      </c>
      <c r="M43" s="8" t="n">
        <v>46</v>
      </c>
      <c r="N43" s="8" t="n">
        <v>46</v>
      </c>
      <c r="O43" s="8" t="n">
        <v>45</v>
      </c>
      <c r="P43" s="8" t="n">
        <v>45</v>
      </c>
      <c r="Q43" s="8" t="n">
        <v>45</v>
      </c>
      <c r="R43" s="8" t="n">
        <v>45</v>
      </c>
      <c r="S43" s="8" t="n">
        <v>44</v>
      </c>
      <c r="T43" s="8" t="n">
        <v>44</v>
      </c>
      <c r="U43" s="8" t="n">
        <v>45</v>
      </c>
      <c r="V43" s="8" t="n">
        <v>44</v>
      </c>
      <c r="W43" s="8" t="n">
        <v>45</v>
      </c>
      <c r="X43" s="8" t="n">
        <v>44</v>
      </c>
      <c r="Y43" s="8" t="n">
        <v>44</v>
      </c>
      <c r="Z43" s="8" t="n">
        <v>44</v>
      </c>
      <c r="AA43" s="8" t="n">
        <v>44</v>
      </c>
      <c r="AB43" s="8" t="n">
        <v>44</v>
      </c>
      <c r="AC43" s="8" t="n">
        <v>44</v>
      </c>
      <c r="AD43" s="8" t="n">
        <v>44</v>
      </c>
      <c r="AE43" s="8" t="n">
        <v>44</v>
      </c>
      <c r="AF43" s="8" t="n">
        <v>44.48</v>
      </c>
    </row>
    <row r="44">
      <c r="A44" s="14" t="inlineStr">
        <is>
          <t>23611780201</t>
        </is>
      </c>
      <c r="B44" s="14" t="inlineStr">
        <is>
          <t>31</t>
        </is>
      </c>
      <c r="C44" s="26" t="inlineStr">
        <is>
          <t>MORE SWAPNIL SATISH</t>
        </is>
      </c>
      <c r="E44" s="8" t="n">
        <v>44</v>
      </c>
      <c r="F44" s="8" t="n">
        <v>44</v>
      </c>
      <c r="G44" s="8" t="n">
        <v>44</v>
      </c>
      <c r="H44" s="8" t="n">
        <v>44</v>
      </c>
      <c r="I44" s="8" t="n">
        <v>45</v>
      </c>
      <c r="J44" s="8" t="n">
        <v>45</v>
      </c>
      <c r="K44" s="8" t="n">
        <v>45</v>
      </c>
      <c r="L44" s="8" t="n">
        <v>45</v>
      </c>
      <c r="M44" s="8" t="n">
        <v>45</v>
      </c>
      <c r="N44" s="8" t="n">
        <v>45</v>
      </c>
      <c r="O44" s="8" t="n">
        <v>44</v>
      </c>
      <c r="P44" s="8" t="n">
        <v>44</v>
      </c>
      <c r="Q44" s="8" t="n">
        <v>44</v>
      </c>
      <c r="R44" s="8" t="n">
        <v>44</v>
      </c>
      <c r="S44" s="8" t="n">
        <v>44</v>
      </c>
      <c r="T44" s="8" t="n">
        <v>44</v>
      </c>
      <c r="U44" s="8" t="n">
        <v>44</v>
      </c>
      <c r="V44" s="8" t="n">
        <v>44</v>
      </c>
      <c r="W44" s="8" t="n">
        <v>44</v>
      </c>
      <c r="X44" s="8" t="n">
        <v>44</v>
      </c>
      <c r="Y44" s="8" t="n">
        <v>44</v>
      </c>
      <c r="Z44" s="8" t="n">
        <v>44</v>
      </c>
      <c r="AA44" s="8" t="n">
        <v>44</v>
      </c>
      <c r="AB44" s="8" t="n">
        <v>45</v>
      </c>
      <c r="AC44" s="8" t="n">
        <v>45</v>
      </c>
      <c r="AD44" s="8" t="n">
        <v>45</v>
      </c>
      <c r="AE44" s="8" t="n">
        <v>45</v>
      </c>
      <c r="AF44" s="8" t="n">
        <v>44.37</v>
      </c>
    </row>
    <row r="45">
      <c r="A45" s="14" t="inlineStr">
        <is>
          <t>23611780202</t>
        </is>
      </c>
      <c r="B45" s="14" t="inlineStr">
        <is>
          <t>32</t>
        </is>
      </c>
      <c r="C45" s="26" t="inlineStr">
        <is>
          <t>RAUTMALE CHETAN SURESH</t>
        </is>
      </c>
      <c r="E45" s="8" t="n">
        <v>44</v>
      </c>
      <c r="F45" s="8" t="n">
        <v>44</v>
      </c>
      <c r="G45" s="8" t="n">
        <v>44</v>
      </c>
      <c r="H45" s="8" t="n">
        <v>44</v>
      </c>
      <c r="I45" s="8" t="n">
        <v>45</v>
      </c>
      <c r="J45" s="8" t="n">
        <v>45</v>
      </c>
      <c r="K45" s="8" t="n">
        <v>45</v>
      </c>
      <c r="L45" s="8" t="n">
        <v>45</v>
      </c>
      <c r="M45" s="8" t="n">
        <v>45</v>
      </c>
      <c r="N45" s="8" t="n">
        <v>45</v>
      </c>
      <c r="O45" s="8" t="n">
        <v>44</v>
      </c>
      <c r="P45" s="8" t="n">
        <v>44</v>
      </c>
      <c r="Q45" s="8" t="n">
        <v>44</v>
      </c>
      <c r="R45" s="8" t="n">
        <v>44</v>
      </c>
      <c r="S45" s="8" t="n">
        <v>44</v>
      </c>
      <c r="T45" s="8" t="n">
        <v>44</v>
      </c>
      <c r="U45" s="8" t="n">
        <v>44</v>
      </c>
      <c r="V45" s="8" t="n">
        <v>44</v>
      </c>
      <c r="W45" s="8" t="n">
        <v>44</v>
      </c>
      <c r="X45" s="8" t="n">
        <v>44</v>
      </c>
      <c r="Y45" s="8" t="n">
        <v>44</v>
      </c>
      <c r="Z45" s="8" t="n">
        <v>44</v>
      </c>
      <c r="AA45" s="8" t="n">
        <v>44</v>
      </c>
      <c r="AB45" s="8" t="n">
        <v>45</v>
      </c>
      <c r="AC45" s="8" t="n">
        <v>45</v>
      </c>
      <c r="AD45" s="8" t="n">
        <v>45</v>
      </c>
      <c r="AE45" s="8" t="n">
        <v>45</v>
      </c>
      <c r="AF45" s="8" t="n">
        <v>44.37</v>
      </c>
    </row>
    <row r="46">
      <c r="A46" s="14" t="inlineStr">
        <is>
          <t>23611780203</t>
        </is>
      </c>
      <c r="B46" s="14" t="inlineStr">
        <is>
          <t>33</t>
        </is>
      </c>
      <c r="C46" s="26" t="inlineStr">
        <is>
          <t>SALVE SOHAM GAJANAN</t>
        </is>
      </c>
      <c r="E46" s="8" t="n">
        <v>42</v>
      </c>
      <c r="F46" s="8" t="n">
        <v>42</v>
      </c>
      <c r="G46" s="8" t="n">
        <v>42</v>
      </c>
      <c r="H46" s="8" t="n">
        <v>44</v>
      </c>
      <c r="I46" s="8" t="n">
        <v>44</v>
      </c>
      <c r="J46" s="8" t="n">
        <v>44</v>
      </c>
      <c r="K46" s="8" t="n">
        <v>44</v>
      </c>
      <c r="L46" s="8" t="n">
        <v>44</v>
      </c>
      <c r="M46" s="8" t="n">
        <v>44</v>
      </c>
      <c r="N46" s="8" t="n">
        <v>44</v>
      </c>
      <c r="O46" s="8" t="n">
        <v>44</v>
      </c>
      <c r="P46" s="8" t="n">
        <v>44</v>
      </c>
      <c r="Q46" s="8" t="n">
        <v>44</v>
      </c>
      <c r="R46" s="8" t="n">
        <v>44</v>
      </c>
      <c r="S46" s="8" t="n">
        <v>44</v>
      </c>
      <c r="T46" s="8" t="n">
        <v>44</v>
      </c>
      <c r="U46" s="8" t="n">
        <v>44</v>
      </c>
      <c r="V46" s="8" t="n">
        <v>44</v>
      </c>
      <c r="W46" s="8" t="n">
        <v>44</v>
      </c>
      <c r="X46" s="8" t="n">
        <v>44</v>
      </c>
      <c r="Y46" s="8" t="n">
        <v>44</v>
      </c>
      <c r="Z46" s="8" t="n">
        <v>44</v>
      </c>
      <c r="AA46" s="8" t="n">
        <v>44</v>
      </c>
      <c r="AB46" s="8" t="n">
        <v>44</v>
      </c>
      <c r="AC46" s="8" t="n">
        <v>44</v>
      </c>
      <c r="AD46" s="8" t="n">
        <v>44</v>
      </c>
      <c r="AE46" s="8" t="n">
        <v>44</v>
      </c>
      <c r="AF46" s="8" t="n">
        <v>43.78</v>
      </c>
    </row>
    <row r="47">
      <c r="A47" s="14" t="inlineStr">
        <is>
          <t>23611780204</t>
        </is>
      </c>
      <c r="B47" s="14" t="inlineStr">
        <is>
          <t>34</t>
        </is>
      </c>
      <c r="C47" s="26" t="inlineStr">
        <is>
          <t>GHODSARE ROSHAN ARUN</t>
        </is>
      </c>
      <c r="E47" s="8" t="n">
        <v>45</v>
      </c>
      <c r="F47" s="8" t="n">
        <v>46</v>
      </c>
      <c r="G47" s="8" t="n">
        <v>46</v>
      </c>
      <c r="H47" s="8" t="n">
        <v>46</v>
      </c>
      <c r="I47" s="8" t="n">
        <v>46</v>
      </c>
      <c r="J47" s="8" t="n">
        <v>46</v>
      </c>
      <c r="K47" s="8" t="n">
        <v>46</v>
      </c>
      <c r="L47" s="8" t="n">
        <v>46</v>
      </c>
      <c r="M47" s="8" t="n">
        <v>46</v>
      </c>
      <c r="N47" s="8" t="n">
        <v>46</v>
      </c>
      <c r="O47" s="8" t="n">
        <v>46</v>
      </c>
      <c r="P47" s="8" t="n">
        <v>46</v>
      </c>
      <c r="Q47" s="8" t="n">
        <v>46</v>
      </c>
      <c r="R47" s="8" t="n">
        <v>46</v>
      </c>
      <c r="S47" s="8" t="n">
        <v>46</v>
      </c>
      <c r="T47" s="8" t="n">
        <v>46</v>
      </c>
      <c r="U47" s="8" t="n">
        <v>46</v>
      </c>
      <c r="V47" s="8" t="n">
        <v>46</v>
      </c>
      <c r="W47" s="8" t="n">
        <v>46</v>
      </c>
      <c r="X47" s="8" t="n">
        <v>46</v>
      </c>
      <c r="Y47" s="8" t="n">
        <v>46</v>
      </c>
      <c r="Z47" s="8" t="n">
        <v>46</v>
      </c>
      <c r="AA47" s="8" t="n">
        <v>46</v>
      </c>
      <c r="AB47" s="8" t="n">
        <v>47</v>
      </c>
      <c r="AC47" s="8" t="n">
        <v>47</v>
      </c>
      <c r="AD47" s="8" t="n">
        <v>46</v>
      </c>
      <c r="AE47" s="8" t="n">
        <v>46</v>
      </c>
      <c r="AF47" s="8" t="n">
        <v>46.04</v>
      </c>
    </row>
    <row r="48">
      <c r="A48" s="14" t="inlineStr">
        <is>
          <t>23611780205</t>
        </is>
      </c>
      <c r="B48" s="14" t="inlineStr">
        <is>
          <t>35</t>
        </is>
      </c>
      <c r="C48" s="26" t="inlineStr">
        <is>
          <t>AHIRE CHARUDATTA SUBHASH</t>
        </is>
      </c>
      <c r="E48" s="8" t="n">
        <v>44</v>
      </c>
      <c r="F48" s="8" t="n">
        <v>44</v>
      </c>
      <c r="G48" s="8" t="n">
        <v>44</v>
      </c>
      <c r="H48" s="8" t="n">
        <v>44</v>
      </c>
      <c r="I48" s="8" t="n">
        <v>45</v>
      </c>
      <c r="J48" s="8" t="n">
        <v>45</v>
      </c>
      <c r="K48" s="8" t="n">
        <v>45</v>
      </c>
      <c r="L48" s="8" t="n">
        <v>45</v>
      </c>
      <c r="M48" s="8" t="n">
        <v>45</v>
      </c>
      <c r="N48" s="8" t="n">
        <v>45</v>
      </c>
      <c r="O48" s="8" t="n">
        <v>44</v>
      </c>
      <c r="P48" s="8" t="n">
        <v>44</v>
      </c>
      <c r="Q48" s="8" t="n">
        <v>44</v>
      </c>
      <c r="R48" s="8" t="n">
        <v>44</v>
      </c>
      <c r="S48" s="8" t="n">
        <v>44</v>
      </c>
      <c r="T48" s="8" t="n">
        <v>44</v>
      </c>
      <c r="U48" s="8" t="n">
        <v>44</v>
      </c>
      <c r="V48" s="8" t="n">
        <v>44</v>
      </c>
      <c r="W48" s="8" t="n">
        <v>44</v>
      </c>
      <c r="X48" s="8" t="n">
        <v>44</v>
      </c>
      <c r="Y48" s="8" t="n">
        <v>44</v>
      </c>
      <c r="Z48" s="8" t="n">
        <v>44</v>
      </c>
      <c r="AA48" s="8" t="n">
        <v>44</v>
      </c>
      <c r="AB48" s="8" t="n">
        <v>45</v>
      </c>
      <c r="AC48" s="8" t="n">
        <v>45</v>
      </c>
      <c r="AD48" s="8" t="n">
        <v>45</v>
      </c>
      <c r="AE48" s="8" t="n">
        <v>45</v>
      </c>
      <c r="AF48" s="8" t="n">
        <v>44.37</v>
      </c>
    </row>
    <row r="49">
      <c r="A49" s="14" t="inlineStr">
        <is>
          <t>23611780206</t>
        </is>
      </c>
      <c r="B49" s="14" t="inlineStr">
        <is>
          <t>36</t>
        </is>
      </c>
      <c r="C49" s="26" t="inlineStr">
        <is>
          <t>BANKAR VISHAKHA RANJEET</t>
        </is>
      </c>
      <c r="E49" s="8" t="n">
        <v>46</v>
      </c>
      <c r="F49" s="8" t="n">
        <v>46</v>
      </c>
      <c r="G49" s="8" t="n">
        <v>46</v>
      </c>
      <c r="H49" s="8" t="n">
        <v>46</v>
      </c>
      <c r="I49" s="8" t="n">
        <v>47</v>
      </c>
      <c r="J49" s="8" t="n">
        <v>46</v>
      </c>
      <c r="K49" s="8" t="n">
        <v>47</v>
      </c>
      <c r="L49" s="8" t="n">
        <v>46</v>
      </c>
      <c r="M49" s="8" t="n">
        <v>46</v>
      </c>
      <c r="N49" s="8" t="n">
        <v>46</v>
      </c>
      <c r="O49" s="8" t="n">
        <v>46</v>
      </c>
      <c r="P49" s="8" t="n">
        <v>46</v>
      </c>
      <c r="Q49" s="8" t="n">
        <v>46</v>
      </c>
      <c r="R49" s="8" t="n">
        <v>46</v>
      </c>
      <c r="S49" s="8" t="n">
        <v>46</v>
      </c>
      <c r="T49" s="8" t="n">
        <v>47</v>
      </c>
      <c r="U49" s="8" t="n">
        <v>46</v>
      </c>
      <c r="V49" s="8" t="n">
        <v>46</v>
      </c>
      <c r="W49" s="8" t="n">
        <v>47</v>
      </c>
      <c r="X49" s="8" t="n">
        <v>47</v>
      </c>
      <c r="Y49" s="8" t="n">
        <v>47</v>
      </c>
      <c r="Z49" s="8" t="n">
        <v>46</v>
      </c>
      <c r="AA49" s="8" t="n">
        <v>46</v>
      </c>
      <c r="AB49" s="8" t="n">
        <v>46</v>
      </c>
      <c r="AC49" s="8" t="n">
        <v>46</v>
      </c>
      <c r="AD49" s="8" t="n">
        <v>46</v>
      </c>
      <c r="AE49" s="8" t="n">
        <v>46</v>
      </c>
      <c r="AF49" s="8" t="n">
        <v>46.22</v>
      </c>
    </row>
    <row r="50">
      <c r="A50" s="14" t="inlineStr">
        <is>
          <t>23611780207</t>
        </is>
      </c>
      <c r="B50" s="14" t="inlineStr">
        <is>
          <t>37</t>
        </is>
      </c>
      <c r="C50" s="26" t="inlineStr">
        <is>
          <t>PAWAR POOJA RESHMABAI</t>
        </is>
      </c>
      <c r="E50" s="8" t="n">
        <v>44</v>
      </c>
      <c r="F50" s="8" t="n">
        <v>45</v>
      </c>
      <c r="G50" s="8" t="n">
        <v>44</v>
      </c>
      <c r="H50" s="8" t="n">
        <v>45</v>
      </c>
      <c r="I50" s="8" t="n">
        <v>45</v>
      </c>
      <c r="J50" s="8" t="n">
        <v>44</v>
      </c>
      <c r="K50" s="8" t="n">
        <v>45</v>
      </c>
      <c r="L50" s="8" t="n">
        <v>46</v>
      </c>
      <c r="M50" s="8" t="n">
        <v>45</v>
      </c>
      <c r="N50" s="8" t="n">
        <v>45</v>
      </c>
      <c r="O50" s="8" t="n">
        <v>45</v>
      </c>
      <c r="P50" s="8" t="n">
        <v>45</v>
      </c>
      <c r="Q50" s="8" t="n">
        <v>45</v>
      </c>
      <c r="R50" s="8" t="n">
        <v>45</v>
      </c>
      <c r="S50" s="8" t="n">
        <v>46</v>
      </c>
      <c r="T50" s="8" t="n">
        <v>46</v>
      </c>
      <c r="U50" s="8" t="n">
        <v>47</v>
      </c>
      <c r="V50" s="8" t="n">
        <v>47</v>
      </c>
      <c r="W50" s="8" t="n">
        <v>46</v>
      </c>
      <c r="X50" s="8" t="n">
        <v>46</v>
      </c>
      <c r="Y50" s="8" t="n">
        <v>46</v>
      </c>
      <c r="Z50" s="8" t="n">
        <v>46</v>
      </c>
      <c r="AA50" s="8" t="n">
        <v>45</v>
      </c>
      <c r="AB50" s="8" t="n">
        <v>45</v>
      </c>
      <c r="AC50" s="8" t="n">
        <v>46</v>
      </c>
      <c r="AD50" s="8" t="n">
        <v>46</v>
      </c>
      <c r="AE50" s="8" t="n">
        <v>46</v>
      </c>
      <c r="AF50" s="8" t="n">
        <v>45.41</v>
      </c>
    </row>
    <row r="51">
      <c r="A51" s="14" t="inlineStr">
        <is>
          <t>23611780208</t>
        </is>
      </c>
      <c r="B51" s="14" t="inlineStr">
        <is>
          <t>38</t>
        </is>
      </c>
      <c r="C51" s="26" t="inlineStr">
        <is>
          <t>SAINDANE SEJAL PANKAJ</t>
        </is>
      </c>
      <c r="E51" s="8" t="n">
        <v>42</v>
      </c>
      <c r="F51" s="8" t="n">
        <v>42</v>
      </c>
      <c r="G51" s="8" t="n">
        <v>42</v>
      </c>
      <c r="H51" s="8" t="n">
        <v>42</v>
      </c>
      <c r="I51" s="8" t="n">
        <v>41</v>
      </c>
      <c r="J51" s="8" t="n">
        <v>41</v>
      </c>
      <c r="K51" s="8" t="n">
        <v>41</v>
      </c>
      <c r="L51" s="8" t="n">
        <v>41</v>
      </c>
      <c r="M51" s="8" t="n">
        <v>41</v>
      </c>
      <c r="N51" s="8" t="n">
        <v>41</v>
      </c>
      <c r="O51" s="8" t="n">
        <v>41</v>
      </c>
      <c r="P51" s="8" t="n">
        <v>41</v>
      </c>
      <c r="Q51" s="8" t="n">
        <v>41</v>
      </c>
      <c r="R51" s="8" t="n">
        <v>41</v>
      </c>
      <c r="S51" s="8" t="n">
        <v>41</v>
      </c>
      <c r="T51" s="8" t="n">
        <v>41</v>
      </c>
      <c r="U51" s="8" t="n">
        <v>41</v>
      </c>
      <c r="V51" s="8" t="n">
        <v>41</v>
      </c>
      <c r="W51" s="8" t="n">
        <v>41</v>
      </c>
      <c r="X51" s="8" t="n">
        <v>41</v>
      </c>
      <c r="Y51" s="8" t="n">
        <v>41</v>
      </c>
      <c r="Z51" s="8" t="n">
        <v>41</v>
      </c>
      <c r="AA51" s="8" t="n">
        <v>41</v>
      </c>
      <c r="AB51" s="8" t="n">
        <v>41</v>
      </c>
      <c r="AC51" s="8" t="n">
        <v>41</v>
      </c>
      <c r="AD51" s="8" t="n">
        <v>41</v>
      </c>
      <c r="AE51" s="8" t="n">
        <v>41</v>
      </c>
      <c r="AF51" s="8" t="n">
        <v>41.15</v>
      </c>
    </row>
    <row r="52">
      <c r="A52" s="14" t="inlineStr">
        <is>
          <t>23611780209</t>
        </is>
      </c>
      <c r="B52" s="14" t="inlineStr">
        <is>
          <t>39</t>
        </is>
      </c>
      <c r="C52" s="26" t="inlineStr">
        <is>
          <t>KARTULE ABHAY KALU</t>
        </is>
      </c>
      <c r="E52" s="8" t="n">
        <v>40</v>
      </c>
      <c r="F52" s="8" t="n">
        <v>40</v>
      </c>
      <c r="G52" s="8" t="n">
        <v>40</v>
      </c>
      <c r="H52" s="8" t="n">
        <v>40</v>
      </c>
      <c r="I52" s="8" t="n">
        <v>40</v>
      </c>
      <c r="J52" s="8" t="n">
        <v>40</v>
      </c>
      <c r="K52" s="8" t="n">
        <v>40</v>
      </c>
      <c r="L52" s="8" t="n">
        <v>40</v>
      </c>
      <c r="M52" s="8" t="n">
        <v>40</v>
      </c>
      <c r="N52" s="8" t="n">
        <v>40</v>
      </c>
      <c r="O52" s="8" t="n">
        <v>40</v>
      </c>
      <c r="P52" s="8" t="n">
        <v>40</v>
      </c>
      <c r="Q52" s="8" t="n">
        <v>40</v>
      </c>
      <c r="R52" s="8" t="n">
        <v>40</v>
      </c>
      <c r="S52" s="8" t="n">
        <v>40</v>
      </c>
      <c r="T52" s="8" t="n">
        <v>40</v>
      </c>
      <c r="U52" s="8" t="n">
        <v>40</v>
      </c>
      <c r="V52" s="8" t="n">
        <v>40</v>
      </c>
      <c r="W52" s="8" t="n">
        <v>40</v>
      </c>
      <c r="X52" s="8" t="n">
        <v>40</v>
      </c>
      <c r="Y52" s="8" t="n">
        <v>40</v>
      </c>
      <c r="Z52" s="8" t="n">
        <v>40</v>
      </c>
      <c r="AA52" s="8" t="n">
        <v>40</v>
      </c>
      <c r="AB52" s="8" t="n">
        <v>39</v>
      </c>
      <c r="AC52" s="8" t="n">
        <v>39</v>
      </c>
      <c r="AD52" s="8" t="n">
        <v>39</v>
      </c>
      <c r="AE52" s="8" t="n">
        <v>39</v>
      </c>
      <c r="AF52" s="8" t="n">
        <v>39.85</v>
      </c>
    </row>
    <row r="53">
      <c r="A53" s="14" t="inlineStr">
        <is>
          <t>23611780210</t>
        </is>
      </c>
      <c r="B53" s="14" t="inlineStr">
        <is>
          <t>40</t>
        </is>
      </c>
      <c r="C53" s="26" t="inlineStr">
        <is>
          <t>SAPKAL SOMESH MANOHAR</t>
        </is>
      </c>
      <c r="E53" s="8" t="n">
        <v>47</v>
      </c>
      <c r="F53" s="8" t="n">
        <v>47</v>
      </c>
      <c r="G53" s="8" t="n">
        <v>47</v>
      </c>
      <c r="H53" s="8" t="n">
        <v>47</v>
      </c>
      <c r="I53" s="8" t="n">
        <v>47</v>
      </c>
      <c r="J53" s="8" t="n">
        <v>46</v>
      </c>
      <c r="K53" s="8" t="n">
        <v>46</v>
      </c>
      <c r="L53" s="8" t="n">
        <v>47</v>
      </c>
      <c r="M53" s="8" t="n">
        <v>46</v>
      </c>
      <c r="N53" s="8" t="n">
        <v>47</v>
      </c>
      <c r="O53" s="8" t="n">
        <v>47</v>
      </c>
      <c r="P53" s="8" t="n">
        <v>46</v>
      </c>
      <c r="Q53" s="8" t="n">
        <v>47</v>
      </c>
      <c r="R53" s="8" t="n">
        <v>47</v>
      </c>
      <c r="S53" s="8" t="n">
        <v>47</v>
      </c>
      <c r="T53" s="8" t="n">
        <v>46</v>
      </c>
      <c r="U53" s="8" t="n">
        <v>47</v>
      </c>
      <c r="V53" s="8" t="n">
        <v>47</v>
      </c>
      <c r="W53" s="8" t="n">
        <v>47</v>
      </c>
      <c r="X53" s="8" t="n">
        <v>47</v>
      </c>
      <c r="Y53" s="8" t="n">
        <v>47</v>
      </c>
      <c r="Z53" s="8" t="n">
        <v>46</v>
      </c>
      <c r="AA53" s="8" t="n">
        <v>47</v>
      </c>
      <c r="AB53" s="8" t="n">
        <v>47</v>
      </c>
      <c r="AC53" s="8" t="n">
        <v>47</v>
      </c>
      <c r="AD53" s="8" t="n">
        <v>46</v>
      </c>
      <c r="AE53" s="8" t="n">
        <v>47</v>
      </c>
      <c r="AF53" s="8" t="n">
        <v>46.74</v>
      </c>
    </row>
    <row r="54">
      <c r="A54" s="14" t="inlineStr">
        <is>
          <t>23611780211</t>
        </is>
      </c>
      <c r="B54" s="14" t="inlineStr">
        <is>
          <t>41</t>
        </is>
      </c>
      <c r="C54" s="26" t="inlineStr">
        <is>
          <t>MANDWADE CHAITANYA VIJAY</t>
        </is>
      </c>
      <c r="E54" s="8" t="n">
        <v>47</v>
      </c>
      <c r="F54" s="8" t="n">
        <v>46</v>
      </c>
      <c r="G54" s="8" t="n">
        <v>47</v>
      </c>
      <c r="H54" s="8" t="n">
        <v>46</v>
      </c>
      <c r="I54" s="8" t="n">
        <v>46</v>
      </c>
      <c r="J54" s="8" t="n">
        <v>45</v>
      </c>
      <c r="K54" s="8" t="n">
        <v>47</v>
      </c>
      <c r="L54" s="8" t="n">
        <v>48</v>
      </c>
      <c r="M54" s="8" t="n">
        <v>47</v>
      </c>
      <c r="N54" s="8" t="n">
        <v>47</v>
      </c>
      <c r="O54" s="8" t="n">
        <v>47</v>
      </c>
      <c r="P54" s="8" t="n">
        <v>47</v>
      </c>
      <c r="Q54" s="8" t="n">
        <v>46</v>
      </c>
      <c r="R54" s="8" t="n">
        <v>47</v>
      </c>
      <c r="S54" s="8" t="n">
        <v>47</v>
      </c>
      <c r="T54" s="8" t="n">
        <v>47</v>
      </c>
      <c r="U54" s="8" t="n">
        <v>47</v>
      </c>
      <c r="V54" s="8" t="n">
        <v>47</v>
      </c>
      <c r="W54" s="8" t="n">
        <v>47</v>
      </c>
      <c r="X54" s="8" t="n">
        <v>46</v>
      </c>
      <c r="Y54" s="8" t="n">
        <v>47</v>
      </c>
      <c r="Z54" s="8" t="n">
        <v>47</v>
      </c>
      <c r="AA54" s="8" t="n">
        <v>47</v>
      </c>
      <c r="AB54" s="8" t="n">
        <v>47</v>
      </c>
      <c r="AC54" s="8" t="n">
        <v>47</v>
      </c>
      <c r="AD54" s="8" t="n">
        <v>47</v>
      </c>
      <c r="AE54" s="8" t="n">
        <v>47</v>
      </c>
      <c r="AF54" s="8" t="n">
        <v>46.78</v>
      </c>
    </row>
    <row r="55">
      <c r="A55" s="14" t="inlineStr">
        <is>
          <t>23611780212</t>
        </is>
      </c>
      <c r="B55" s="14" t="inlineStr">
        <is>
          <t>42</t>
        </is>
      </c>
      <c r="C55" s="26" t="inlineStr">
        <is>
          <t>SURYAWANSHI PRATIK M.</t>
        </is>
      </c>
      <c r="E55" s="8" t="n">
        <v>44</v>
      </c>
      <c r="F55" s="8" t="n">
        <v>44</v>
      </c>
      <c r="G55" s="8" t="n">
        <v>44</v>
      </c>
      <c r="H55" s="8" t="n">
        <v>44</v>
      </c>
      <c r="I55" s="8" t="n">
        <v>45</v>
      </c>
      <c r="J55" s="8" t="n">
        <v>45</v>
      </c>
      <c r="K55" s="8" t="n">
        <v>45</v>
      </c>
      <c r="L55" s="8" t="n">
        <v>45</v>
      </c>
      <c r="M55" s="8" t="n">
        <v>45</v>
      </c>
      <c r="N55" s="8" t="n">
        <v>45</v>
      </c>
      <c r="O55" s="8" t="n">
        <v>44</v>
      </c>
      <c r="P55" s="8" t="n">
        <v>44</v>
      </c>
      <c r="Q55" s="8" t="n">
        <v>44</v>
      </c>
      <c r="R55" s="8" t="n">
        <v>44</v>
      </c>
      <c r="S55" s="8" t="n">
        <v>44</v>
      </c>
      <c r="T55" s="8" t="n">
        <v>44</v>
      </c>
      <c r="U55" s="8" t="n">
        <v>44</v>
      </c>
      <c r="V55" s="8" t="n">
        <v>44</v>
      </c>
      <c r="W55" s="8" t="n">
        <v>44</v>
      </c>
      <c r="X55" s="8" t="n">
        <v>44</v>
      </c>
      <c r="Y55" s="8" t="n">
        <v>44</v>
      </c>
      <c r="Z55" s="8" t="n">
        <v>44</v>
      </c>
      <c r="AA55" s="8" t="n">
        <v>44</v>
      </c>
      <c r="AB55" s="8" t="n">
        <v>45</v>
      </c>
      <c r="AC55" s="8" t="n">
        <v>45</v>
      </c>
      <c r="AD55" s="8" t="n">
        <v>45</v>
      </c>
      <c r="AE55" s="8" t="n">
        <v>45</v>
      </c>
      <c r="AF55" s="8" t="n">
        <v>44.37</v>
      </c>
    </row>
    <row r="56">
      <c r="A56" s="14" t="inlineStr">
        <is>
          <t>23611780213</t>
        </is>
      </c>
      <c r="B56" s="14" t="inlineStr">
        <is>
          <t>43</t>
        </is>
      </c>
      <c r="C56" s="26" t="inlineStr">
        <is>
          <t>GUJARE AMBIKA SHANTARAM</t>
        </is>
      </c>
      <c r="E56" s="8" t="n">
        <v>46</v>
      </c>
      <c r="F56" s="8" t="n">
        <v>46</v>
      </c>
      <c r="G56" s="8" t="n">
        <v>46</v>
      </c>
      <c r="H56" s="8" t="n">
        <v>46</v>
      </c>
      <c r="I56" s="8" t="n">
        <v>46</v>
      </c>
      <c r="J56" s="8" t="n">
        <v>46</v>
      </c>
      <c r="K56" s="8" t="n">
        <v>46</v>
      </c>
      <c r="L56" s="8" t="n">
        <v>47</v>
      </c>
      <c r="M56" s="8" t="n">
        <v>46</v>
      </c>
      <c r="N56" s="8" t="n">
        <v>46</v>
      </c>
      <c r="O56" s="8" t="n">
        <v>46</v>
      </c>
      <c r="P56" s="8" t="n">
        <v>46</v>
      </c>
      <c r="Q56" s="8" t="n">
        <v>46</v>
      </c>
      <c r="R56" s="8" t="n">
        <v>46</v>
      </c>
      <c r="S56" s="8" t="n">
        <v>46</v>
      </c>
      <c r="T56" s="8" t="n">
        <v>46</v>
      </c>
      <c r="U56" s="8" t="n">
        <v>46</v>
      </c>
      <c r="V56" s="8" t="n">
        <v>46</v>
      </c>
      <c r="W56" s="8" t="n">
        <v>46</v>
      </c>
      <c r="X56" s="8" t="n">
        <v>46</v>
      </c>
      <c r="Y56" s="8" t="n">
        <v>46</v>
      </c>
      <c r="Z56" s="8" t="n">
        <v>46</v>
      </c>
      <c r="AA56" s="8" t="n">
        <v>46</v>
      </c>
      <c r="AB56" s="8" t="n">
        <v>47</v>
      </c>
      <c r="AC56" s="8" t="n">
        <v>47</v>
      </c>
      <c r="AD56" s="8" t="n">
        <v>46</v>
      </c>
      <c r="AE56" s="8" t="n">
        <v>46</v>
      </c>
      <c r="AF56" s="8" t="n">
        <v>46.11</v>
      </c>
    </row>
    <row r="57">
      <c r="A57" s="14" t="inlineStr">
        <is>
          <t>23611780214</t>
        </is>
      </c>
      <c r="B57" s="14" t="inlineStr">
        <is>
          <t>44</t>
        </is>
      </c>
      <c r="C57" s="26" t="inlineStr">
        <is>
          <t>KARPE PAYAL PRAVIN</t>
        </is>
      </c>
      <c r="E57" s="8" t="n">
        <v>40</v>
      </c>
      <c r="F57" s="8" t="n">
        <v>40</v>
      </c>
      <c r="G57" s="8" t="n">
        <v>40</v>
      </c>
      <c r="H57" s="8" t="n">
        <v>40</v>
      </c>
      <c r="I57" s="8" t="n">
        <v>40</v>
      </c>
      <c r="J57" s="8" t="n">
        <v>40</v>
      </c>
      <c r="K57" s="8" t="n">
        <v>40</v>
      </c>
      <c r="L57" s="8" t="n">
        <v>40</v>
      </c>
      <c r="M57" s="8" t="n">
        <v>40</v>
      </c>
      <c r="N57" s="8" t="n">
        <v>40</v>
      </c>
      <c r="O57" s="8" t="n">
        <v>40</v>
      </c>
      <c r="P57" s="8" t="n">
        <v>40</v>
      </c>
      <c r="Q57" s="8" t="n">
        <v>40</v>
      </c>
      <c r="R57" s="8" t="n">
        <v>40</v>
      </c>
      <c r="S57" s="8" t="n">
        <v>40</v>
      </c>
      <c r="T57" s="8" t="n">
        <v>40</v>
      </c>
      <c r="U57" s="8" t="n">
        <v>40</v>
      </c>
      <c r="V57" s="8" t="n">
        <v>40</v>
      </c>
      <c r="W57" s="8" t="n">
        <v>40</v>
      </c>
      <c r="X57" s="8" t="n">
        <v>40</v>
      </c>
      <c r="Y57" s="8" t="n">
        <v>40</v>
      </c>
      <c r="Z57" s="8" t="n">
        <v>40</v>
      </c>
      <c r="AA57" s="8" t="n">
        <v>40</v>
      </c>
      <c r="AB57" s="8" t="n">
        <v>41</v>
      </c>
      <c r="AC57" s="8" t="n">
        <v>41</v>
      </c>
      <c r="AD57" s="8" t="n">
        <v>41</v>
      </c>
      <c r="AE57" s="8" t="n">
        <v>41</v>
      </c>
      <c r="AF57" s="8" t="n">
        <v>40.15</v>
      </c>
    </row>
    <row r="58">
      <c r="A58" s="14" t="inlineStr">
        <is>
          <t>23611780215</t>
        </is>
      </c>
      <c r="B58" s="14" t="inlineStr">
        <is>
          <t>45</t>
        </is>
      </c>
      <c r="C58" s="26" t="inlineStr">
        <is>
          <t>AHER ANIKET LAXMAN</t>
        </is>
      </c>
      <c r="E58" s="8" t="n">
        <v>44</v>
      </c>
      <c r="F58" s="8" t="n">
        <v>44</v>
      </c>
      <c r="G58" s="8" t="n">
        <v>44</v>
      </c>
      <c r="H58" s="8" t="n">
        <v>44</v>
      </c>
      <c r="I58" s="8" t="n">
        <v>45</v>
      </c>
      <c r="J58" s="8" t="n">
        <v>45</v>
      </c>
      <c r="K58" s="8" t="n">
        <v>45</v>
      </c>
      <c r="L58" s="8" t="n">
        <v>45</v>
      </c>
      <c r="M58" s="8" t="n">
        <v>45</v>
      </c>
      <c r="N58" s="8" t="n">
        <v>45</v>
      </c>
      <c r="O58" s="8" t="n">
        <v>44</v>
      </c>
      <c r="P58" s="8" t="n">
        <v>44</v>
      </c>
      <c r="Q58" s="8" t="n">
        <v>44</v>
      </c>
      <c r="R58" s="8" t="n">
        <v>44</v>
      </c>
      <c r="S58" s="8" t="n">
        <v>44</v>
      </c>
      <c r="T58" s="8" t="n">
        <v>44</v>
      </c>
      <c r="U58" s="8" t="n">
        <v>44</v>
      </c>
      <c r="V58" s="8" t="n">
        <v>44</v>
      </c>
      <c r="W58" s="8" t="n">
        <v>44</v>
      </c>
      <c r="X58" s="8" t="n">
        <v>44</v>
      </c>
      <c r="Y58" s="8" t="n">
        <v>44</v>
      </c>
      <c r="Z58" s="8" t="n">
        <v>44</v>
      </c>
      <c r="AA58" s="8" t="n">
        <v>44</v>
      </c>
      <c r="AB58" s="8" t="n">
        <v>45</v>
      </c>
      <c r="AC58" s="8" t="n">
        <v>45</v>
      </c>
      <c r="AD58" s="8" t="n">
        <v>45</v>
      </c>
      <c r="AE58" s="8" t="n">
        <v>45</v>
      </c>
      <c r="AF58" s="8" t="n">
        <v>44.37</v>
      </c>
    </row>
    <row r="59">
      <c r="A59" s="14" t="inlineStr">
        <is>
          <t>23611780216</t>
        </is>
      </c>
      <c r="B59" s="14" t="inlineStr">
        <is>
          <t>46</t>
        </is>
      </c>
      <c r="C59" s="26" t="inlineStr">
        <is>
          <t>PATIL ATHARVA RAJENDRA</t>
        </is>
      </c>
      <c r="E59" s="8" t="n">
        <v>44</v>
      </c>
      <c r="F59" s="8" t="n">
        <v>44</v>
      </c>
      <c r="G59" s="8" t="n">
        <v>44</v>
      </c>
      <c r="H59" s="8" t="n">
        <v>44</v>
      </c>
      <c r="I59" s="8" t="n">
        <v>45</v>
      </c>
      <c r="J59" s="8" t="n">
        <v>45</v>
      </c>
      <c r="K59" s="8" t="n">
        <v>45</v>
      </c>
      <c r="L59" s="8" t="n">
        <v>45</v>
      </c>
      <c r="M59" s="8" t="n">
        <v>45</v>
      </c>
      <c r="N59" s="8" t="n">
        <v>45</v>
      </c>
      <c r="O59" s="8" t="n">
        <v>44</v>
      </c>
      <c r="P59" s="8" t="n">
        <v>44</v>
      </c>
      <c r="Q59" s="8" t="n">
        <v>44</v>
      </c>
      <c r="R59" s="8" t="n">
        <v>44</v>
      </c>
      <c r="S59" s="8" t="n">
        <v>44</v>
      </c>
      <c r="T59" s="8" t="n">
        <v>44</v>
      </c>
      <c r="U59" s="8" t="n">
        <v>44</v>
      </c>
      <c r="V59" s="8" t="n">
        <v>44</v>
      </c>
      <c r="W59" s="8" t="n">
        <v>44</v>
      </c>
      <c r="X59" s="8" t="n">
        <v>44</v>
      </c>
      <c r="Y59" s="8" t="n">
        <v>44</v>
      </c>
      <c r="Z59" s="8" t="n">
        <v>44</v>
      </c>
      <c r="AA59" s="8" t="n">
        <v>44</v>
      </c>
      <c r="AB59" s="8" t="n">
        <v>45</v>
      </c>
      <c r="AC59" s="8" t="n">
        <v>45</v>
      </c>
      <c r="AD59" s="8" t="n">
        <v>45</v>
      </c>
      <c r="AE59" s="8" t="n">
        <v>45</v>
      </c>
      <c r="AF59" s="8" t="n">
        <v>44.37</v>
      </c>
    </row>
    <row r="60">
      <c r="A60" s="14" t="inlineStr">
        <is>
          <t>23611780217</t>
        </is>
      </c>
      <c r="B60" s="14" t="inlineStr">
        <is>
          <t>47</t>
        </is>
      </c>
      <c r="C60" s="26" t="inlineStr">
        <is>
          <t>RAUNDAL VRUSHABH UMESH</t>
        </is>
      </c>
      <c r="E60" s="8" t="n">
        <v>44</v>
      </c>
      <c r="F60" s="8" t="n">
        <v>44</v>
      </c>
      <c r="G60" s="8" t="n">
        <v>44</v>
      </c>
      <c r="H60" s="8" t="n">
        <v>44</v>
      </c>
      <c r="I60" s="8" t="n">
        <v>45</v>
      </c>
      <c r="J60" s="8" t="n">
        <v>45</v>
      </c>
      <c r="K60" s="8" t="n">
        <v>45</v>
      </c>
      <c r="L60" s="8" t="n">
        <v>45</v>
      </c>
      <c r="M60" s="8" t="n">
        <v>45</v>
      </c>
      <c r="N60" s="8" t="n">
        <v>45</v>
      </c>
      <c r="O60" s="8" t="n">
        <v>44</v>
      </c>
      <c r="P60" s="8" t="n">
        <v>44</v>
      </c>
      <c r="Q60" s="8" t="n">
        <v>44</v>
      </c>
      <c r="R60" s="8" t="n">
        <v>44</v>
      </c>
      <c r="S60" s="8" t="n">
        <v>44</v>
      </c>
      <c r="T60" s="8" t="n">
        <v>44</v>
      </c>
      <c r="U60" s="8" t="n">
        <v>44</v>
      </c>
      <c r="V60" s="8" t="n">
        <v>44</v>
      </c>
      <c r="W60" s="8" t="n">
        <v>44</v>
      </c>
      <c r="X60" s="8" t="n">
        <v>44</v>
      </c>
      <c r="Y60" s="8" t="n">
        <v>44</v>
      </c>
      <c r="Z60" s="8" t="n">
        <v>44</v>
      </c>
      <c r="AA60" s="8" t="n">
        <v>44</v>
      </c>
      <c r="AB60" s="8" t="n">
        <v>45</v>
      </c>
      <c r="AC60" s="8" t="n">
        <v>45</v>
      </c>
      <c r="AD60" s="8" t="n">
        <v>45</v>
      </c>
      <c r="AE60" s="8" t="n">
        <v>45</v>
      </c>
      <c r="AF60" s="8" t="n">
        <v>44.37</v>
      </c>
    </row>
    <row r="61">
      <c r="A61" s="14" t="inlineStr">
        <is>
          <t>23611780218</t>
        </is>
      </c>
      <c r="B61" s="14" t="inlineStr">
        <is>
          <t>48</t>
        </is>
      </c>
      <c r="C61" s="26" t="inlineStr">
        <is>
          <t>PATIL GAYATRI NAMDEO</t>
        </is>
      </c>
      <c r="E61" s="8" t="n">
        <v>40</v>
      </c>
      <c r="F61" s="8" t="n">
        <v>40</v>
      </c>
      <c r="G61" s="8" t="n">
        <v>40</v>
      </c>
      <c r="H61" s="8" t="n">
        <v>40</v>
      </c>
      <c r="I61" s="8" t="n">
        <v>40</v>
      </c>
      <c r="J61" s="8" t="n">
        <v>40</v>
      </c>
      <c r="K61" s="8" t="n">
        <v>40</v>
      </c>
      <c r="L61" s="8" t="n">
        <v>40</v>
      </c>
      <c r="M61" s="8" t="n">
        <v>40</v>
      </c>
      <c r="N61" s="8" t="n">
        <v>40</v>
      </c>
      <c r="O61" s="8" t="n">
        <v>40</v>
      </c>
      <c r="P61" s="8" t="n">
        <v>40</v>
      </c>
      <c r="Q61" s="8" t="n">
        <v>40</v>
      </c>
      <c r="R61" s="8" t="n">
        <v>40</v>
      </c>
      <c r="S61" s="8" t="n">
        <v>40</v>
      </c>
      <c r="T61" s="8" t="n">
        <v>42</v>
      </c>
      <c r="U61" s="8" t="n">
        <v>42</v>
      </c>
      <c r="V61" s="8" t="n">
        <v>42</v>
      </c>
      <c r="W61" s="8" t="n">
        <v>42</v>
      </c>
      <c r="X61" s="8" t="n">
        <v>42</v>
      </c>
      <c r="Y61" s="8" t="n">
        <v>42</v>
      </c>
      <c r="Z61" s="8" t="n">
        <v>42</v>
      </c>
      <c r="AA61" s="8" t="n">
        <v>41</v>
      </c>
      <c r="AB61" s="8" t="n">
        <v>41</v>
      </c>
      <c r="AC61" s="8" t="n">
        <v>42</v>
      </c>
      <c r="AD61" s="8" t="n">
        <v>41</v>
      </c>
      <c r="AE61" s="8" t="n">
        <v>42</v>
      </c>
      <c r="AF61" s="8" t="n">
        <v>40.78</v>
      </c>
    </row>
    <row r="62">
      <c r="A62" s="14" t="inlineStr">
        <is>
          <t>23611780219</t>
        </is>
      </c>
      <c r="B62" s="14" t="inlineStr">
        <is>
          <t>49</t>
        </is>
      </c>
      <c r="C62" s="26" t="inlineStr">
        <is>
          <t>SHELAR SWARUP SADASHIV</t>
        </is>
      </c>
      <c r="E62" s="8" t="n">
        <v>41</v>
      </c>
      <c r="F62" s="8" t="n">
        <v>41</v>
      </c>
      <c r="G62" s="8" t="n">
        <v>41</v>
      </c>
      <c r="H62" s="8" t="n">
        <v>41</v>
      </c>
      <c r="I62" s="8" t="n">
        <v>41</v>
      </c>
      <c r="J62" s="8" t="n">
        <v>41</v>
      </c>
      <c r="K62" s="8" t="n">
        <v>41</v>
      </c>
      <c r="L62" s="8" t="n">
        <v>41</v>
      </c>
      <c r="M62" s="8" t="n">
        <v>41</v>
      </c>
      <c r="N62" s="8" t="n">
        <v>41</v>
      </c>
      <c r="O62" s="8" t="n">
        <v>41</v>
      </c>
      <c r="P62" s="8" t="n">
        <v>41</v>
      </c>
      <c r="Q62" s="8" t="n">
        <v>42</v>
      </c>
      <c r="R62" s="8" t="n">
        <v>42</v>
      </c>
      <c r="S62" s="8" t="n">
        <v>42</v>
      </c>
      <c r="T62" s="8" t="n">
        <v>42</v>
      </c>
      <c r="U62" s="8" t="n">
        <v>42</v>
      </c>
      <c r="V62" s="8" t="n">
        <v>42</v>
      </c>
      <c r="W62" s="8" t="n">
        <v>42</v>
      </c>
      <c r="X62" s="8" t="n">
        <v>42</v>
      </c>
      <c r="Y62" s="8" t="n">
        <v>42</v>
      </c>
      <c r="Z62" s="8" t="n">
        <v>42</v>
      </c>
      <c r="AA62" s="8" t="n">
        <v>41</v>
      </c>
      <c r="AB62" s="8" t="n">
        <v>41</v>
      </c>
      <c r="AC62" s="8" t="n">
        <v>42</v>
      </c>
      <c r="AD62" s="8" t="n">
        <v>41</v>
      </c>
      <c r="AE62" s="8" t="n">
        <v>42</v>
      </c>
      <c r="AF62" s="8" t="n">
        <v>41.44</v>
      </c>
    </row>
    <row r="63">
      <c r="A63" s="14" t="inlineStr">
        <is>
          <t>23611780220</t>
        </is>
      </c>
      <c r="B63" s="14" t="inlineStr">
        <is>
          <t>50</t>
        </is>
      </c>
      <c r="C63" s="26" t="inlineStr">
        <is>
          <t>BHAGWAT SANCHIT VIJAY</t>
        </is>
      </c>
      <c r="E63" s="8" t="n">
        <v>47</v>
      </c>
      <c r="F63" s="8" t="n">
        <v>46</v>
      </c>
      <c r="G63" s="8" t="n">
        <v>46</v>
      </c>
      <c r="H63" s="8" t="n">
        <v>46</v>
      </c>
      <c r="I63" s="8" t="n">
        <v>46</v>
      </c>
      <c r="J63" s="8" t="n">
        <v>46</v>
      </c>
      <c r="K63" s="8" t="n">
        <v>47</v>
      </c>
      <c r="L63" s="8" t="n">
        <v>47</v>
      </c>
      <c r="M63" s="8" t="n">
        <v>46</v>
      </c>
      <c r="N63" s="8" t="n">
        <v>46</v>
      </c>
      <c r="O63" s="8" t="n">
        <v>46</v>
      </c>
      <c r="P63" s="8" t="n">
        <v>46</v>
      </c>
      <c r="Q63" s="8" t="n">
        <v>46</v>
      </c>
      <c r="R63" s="8" t="n">
        <v>46</v>
      </c>
      <c r="S63" s="8" t="n">
        <v>47</v>
      </c>
      <c r="T63" s="8" t="n">
        <v>47</v>
      </c>
      <c r="U63" s="8" t="n">
        <v>46</v>
      </c>
      <c r="V63" s="8" t="n">
        <v>47</v>
      </c>
      <c r="W63" s="8" t="n">
        <v>47</v>
      </c>
      <c r="X63" s="8" t="n">
        <v>47</v>
      </c>
      <c r="Y63" s="8" t="n">
        <v>46</v>
      </c>
      <c r="Z63" s="8" t="n">
        <v>46</v>
      </c>
      <c r="AA63" s="8" t="n">
        <v>46</v>
      </c>
      <c r="AB63" s="8" t="n">
        <v>47</v>
      </c>
      <c r="AC63" s="8" t="n">
        <v>47</v>
      </c>
      <c r="AD63" s="8" t="n">
        <v>47</v>
      </c>
      <c r="AE63" s="8" t="n">
        <v>47</v>
      </c>
      <c r="AF63" s="8" t="n">
        <v>46.44</v>
      </c>
    </row>
    <row r="64">
      <c r="A64" s="14" t="inlineStr">
        <is>
          <t>23611780221</t>
        </is>
      </c>
      <c r="B64" s="14" t="inlineStr">
        <is>
          <t>51</t>
        </is>
      </c>
      <c r="C64" s="26" t="inlineStr">
        <is>
          <t>MALI ARYAN MANOJ</t>
        </is>
      </c>
      <c r="E64" s="8" t="n">
        <v>40</v>
      </c>
      <c r="F64" s="8" t="n">
        <v>40</v>
      </c>
      <c r="G64" s="8" t="n">
        <v>40</v>
      </c>
      <c r="H64" s="8" t="n">
        <v>40</v>
      </c>
      <c r="I64" s="8" t="n">
        <v>40</v>
      </c>
      <c r="J64" s="8" t="n">
        <v>40</v>
      </c>
      <c r="K64" s="8" t="n">
        <v>40</v>
      </c>
      <c r="L64" s="8" t="n">
        <v>40</v>
      </c>
      <c r="M64" s="8" t="n">
        <v>40</v>
      </c>
      <c r="N64" s="8" t="n">
        <v>40</v>
      </c>
      <c r="O64" s="8" t="n">
        <v>40</v>
      </c>
      <c r="P64" s="8" t="n">
        <v>40</v>
      </c>
      <c r="Q64" s="8" t="n">
        <v>40</v>
      </c>
      <c r="R64" s="8" t="n">
        <v>40</v>
      </c>
      <c r="S64" s="8" t="n">
        <v>40</v>
      </c>
      <c r="T64" s="8" t="n">
        <v>40</v>
      </c>
      <c r="U64" s="8" t="n">
        <v>40</v>
      </c>
      <c r="V64" s="8" t="n">
        <v>40</v>
      </c>
      <c r="W64" s="8" t="n">
        <v>40</v>
      </c>
      <c r="X64" s="8" t="n">
        <v>40</v>
      </c>
      <c r="Y64" s="8" t="n">
        <v>40</v>
      </c>
      <c r="Z64" s="8" t="n">
        <v>40</v>
      </c>
      <c r="AA64" s="8" t="n">
        <v>40</v>
      </c>
      <c r="AB64" s="8" t="n">
        <v>39</v>
      </c>
      <c r="AC64" s="8" t="n">
        <v>39</v>
      </c>
      <c r="AD64" s="8" t="n">
        <v>39</v>
      </c>
      <c r="AE64" s="8" t="n">
        <v>39</v>
      </c>
      <c r="AF64" s="8" t="n">
        <v>39.85</v>
      </c>
    </row>
    <row r="65">
      <c r="A65" s="14" t="inlineStr">
        <is>
          <t>23611780222</t>
        </is>
      </c>
      <c r="B65" s="14" t="inlineStr">
        <is>
          <t>52</t>
        </is>
      </c>
      <c r="C65" s="26" t="inlineStr">
        <is>
          <t>PATIL SAKSHI PRAMOD</t>
        </is>
      </c>
      <c r="E65" s="8" t="n">
        <v>47</v>
      </c>
      <c r="F65" s="8" t="n">
        <v>47</v>
      </c>
      <c r="G65" s="8" t="n">
        <v>47</v>
      </c>
      <c r="H65" s="8" t="n">
        <v>47</v>
      </c>
      <c r="I65" s="8" t="n">
        <v>47</v>
      </c>
      <c r="J65" s="8" t="n">
        <v>46</v>
      </c>
      <c r="K65" s="8" t="n">
        <v>47</v>
      </c>
      <c r="L65" s="8" t="n">
        <v>47</v>
      </c>
      <c r="M65" s="8" t="n">
        <v>46</v>
      </c>
      <c r="N65" s="8" t="n">
        <v>47</v>
      </c>
      <c r="O65" s="8" t="n">
        <v>48</v>
      </c>
      <c r="P65" s="8" t="n">
        <v>47</v>
      </c>
      <c r="Q65" s="8" t="n">
        <v>47</v>
      </c>
      <c r="R65" s="8" t="n">
        <v>47</v>
      </c>
      <c r="S65" s="8" t="n">
        <v>47</v>
      </c>
      <c r="T65" s="8" t="n">
        <v>47</v>
      </c>
      <c r="U65" s="8" t="n">
        <v>47</v>
      </c>
      <c r="V65" s="8" t="n">
        <v>47</v>
      </c>
      <c r="W65" s="8" t="n">
        <v>47</v>
      </c>
      <c r="X65" s="8" t="n">
        <v>47</v>
      </c>
      <c r="Y65" s="8" t="n">
        <v>47</v>
      </c>
      <c r="Z65" s="8" t="n">
        <v>47</v>
      </c>
      <c r="AA65" s="8" t="n">
        <v>47</v>
      </c>
      <c r="AB65" s="8" t="n">
        <v>47</v>
      </c>
      <c r="AC65" s="8" t="n">
        <v>47</v>
      </c>
      <c r="AD65" s="8" t="n">
        <v>48</v>
      </c>
      <c r="AE65" s="8" t="n">
        <v>47</v>
      </c>
      <c r="AF65" s="8" t="n">
        <v>47</v>
      </c>
    </row>
    <row r="66">
      <c r="A66" s="14" t="inlineStr">
        <is>
          <t>23611780223</t>
        </is>
      </c>
      <c r="B66" s="14" t="inlineStr">
        <is>
          <t>53</t>
        </is>
      </c>
      <c r="C66" s="26" t="inlineStr">
        <is>
          <t>WAGH ARYAN DINESH</t>
        </is>
      </c>
      <c r="E66" s="8" t="n">
        <v>44</v>
      </c>
      <c r="F66" s="8" t="n">
        <v>44</v>
      </c>
      <c r="G66" s="8" t="n">
        <v>44</v>
      </c>
      <c r="H66" s="8" t="n">
        <v>44</v>
      </c>
      <c r="I66" s="8" t="n">
        <v>45</v>
      </c>
      <c r="J66" s="8" t="n">
        <v>45</v>
      </c>
      <c r="K66" s="8" t="n">
        <v>45</v>
      </c>
      <c r="L66" s="8" t="n">
        <v>45</v>
      </c>
      <c r="M66" s="8" t="n">
        <v>45</v>
      </c>
      <c r="N66" s="8" t="n">
        <v>45</v>
      </c>
      <c r="O66" s="8" t="n">
        <v>44</v>
      </c>
      <c r="P66" s="8" t="n">
        <v>44</v>
      </c>
      <c r="Q66" s="8" t="n">
        <v>44</v>
      </c>
      <c r="R66" s="8" t="n">
        <v>44</v>
      </c>
      <c r="S66" s="8" t="n">
        <v>44</v>
      </c>
      <c r="T66" s="8" t="n">
        <v>44</v>
      </c>
      <c r="U66" s="8" t="n">
        <v>44</v>
      </c>
      <c r="V66" s="8" t="n">
        <v>44</v>
      </c>
      <c r="W66" s="8" t="n">
        <v>44</v>
      </c>
      <c r="X66" s="8" t="n">
        <v>44</v>
      </c>
      <c r="Y66" s="8" t="n">
        <v>44</v>
      </c>
      <c r="Z66" s="8" t="n">
        <v>44</v>
      </c>
      <c r="AA66" s="8" t="n">
        <v>44</v>
      </c>
      <c r="AB66" s="8" t="n">
        <v>45</v>
      </c>
      <c r="AC66" s="8" t="n">
        <v>45</v>
      </c>
      <c r="AD66" s="8" t="n">
        <v>45</v>
      </c>
      <c r="AE66" s="8" t="n">
        <v>45</v>
      </c>
      <c r="AF66" s="8" t="n">
        <v>44.37</v>
      </c>
    </row>
    <row r="67">
      <c r="A67" s="14" t="inlineStr">
        <is>
          <t>23611780224</t>
        </is>
      </c>
      <c r="B67" s="14" t="inlineStr">
        <is>
          <t>54</t>
        </is>
      </c>
      <c r="C67" s="26" t="inlineStr">
        <is>
          <t>MISHRA PUSHKAR</t>
        </is>
      </c>
      <c r="E67" s="8" t="n">
        <v>44</v>
      </c>
      <c r="F67" s="8" t="n">
        <v>44</v>
      </c>
      <c r="G67" s="8" t="n">
        <v>44</v>
      </c>
      <c r="H67" s="8" t="n">
        <v>44</v>
      </c>
      <c r="I67" s="8" t="n">
        <v>45</v>
      </c>
      <c r="J67" s="8" t="n">
        <v>45</v>
      </c>
      <c r="K67" s="8" t="n">
        <v>44</v>
      </c>
      <c r="L67" s="8" t="n">
        <v>44</v>
      </c>
      <c r="M67" s="8" t="n">
        <v>44</v>
      </c>
      <c r="N67" s="8" t="n">
        <v>44</v>
      </c>
      <c r="O67" s="8" t="n">
        <v>44</v>
      </c>
      <c r="P67" s="8" t="n">
        <v>44</v>
      </c>
      <c r="Q67" s="8" t="n">
        <v>44</v>
      </c>
      <c r="R67" s="8" t="n">
        <v>44</v>
      </c>
      <c r="S67" s="8" t="n">
        <v>44</v>
      </c>
      <c r="T67" s="8" t="n">
        <v>44</v>
      </c>
      <c r="U67" s="8" t="n">
        <v>44</v>
      </c>
      <c r="V67" s="8" t="n">
        <v>44</v>
      </c>
      <c r="W67" s="8" t="n">
        <v>44</v>
      </c>
      <c r="X67" s="8" t="n">
        <v>44</v>
      </c>
      <c r="Y67" s="8" t="n">
        <v>44</v>
      </c>
      <c r="Z67" s="8" t="n">
        <v>44</v>
      </c>
      <c r="AA67" s="8" t="n">
        <v>44</v>
      </c>
      <c r="AB67" s="8" t="n">
        <v>44</v>
      </c>
      <c r="AC67" s="8" t="n">
        <v>44</v>
      </c>
      <c r="AD67" s="8" t="n">
        <v>44</v>
      </c>
      <c r="AE67" s="8" t="n">
        <v>44</v>
      </c>
      <c r="AF67" s="8" t="n">
        <v>44.07</v>
      </c>
    </row>
    <row r="68">
      <c r="A68" s="14" t="inlineStr">
        <is>
          <t>23611780225</t>
        </is>
      </c>
      <c r="B68" s="14" t="inlineStr">
        <is>
          <t>55</t>
        </is>
      </c>
      <c r="C68" s="26" t="inlineStr">
        <is>
          <t>BIDVE MOHIT SUBODH</t>
        </is>
      </c>
      <c r="E68" s="8" t="n">
        <v>39</v>
      </c>
      <c r="F68" s="8" t="n">
        <v>39</v>
      </c>
      <c r="G68" s="8" t="n">
        <v>39</v>
      </c>
      <c r="H68" s="8" t="n">
        <v>40</v>
      </c>
      <c r="I68" s="8" t="n">
        <v>40</v>
      </c>
      <c r="J68" s="8" t="n">
        <v>40</v>
      </c>
      <c r="K68" s="8" t="n">
        <v>40</v>
      </c>
      <c r="L68" s="8" t="n">
        <v>40</v>
      </c>
      <c r="M68" s="8" t="n">
        <v>40</v>
      </c>
      <c r="N68" s="8" t="n">
        <v>40</v>
      </c>
      <c r="O68" s="8" t="n">
        <v>40</v>
      </c>
      <c r="P68" s="8" t="n">
        <v>40</v>
      </c>
      <c r="Q68" s="8" t="n">
        <v>40</v>
      </c>
      <c r="R68" s="8" t="n">
        <v>40</v>
      </c>
      <c r="S68" s="8" t="n">
        <v>40</v>
      </c>
      <c r="T68" s="8" t="n">
        <v>40</v>
      </c>
      <c r="U68" s="8" t="n">
        <v>40</v>
      </c>
      <c r="V68" s="8" t="n">
        <v>40</v>
      </c>
      <c r="W68" s="8" t="n">
        <v>40</v>
      </c>
      <c r="X68" s="8" t="n">
        <v>40</v>
      </c>
      <c r="Y68" s="8" t="n">
        <v>40</v>
      </c>
      <c r="Z68" s="8" t="n">
        <v>40</v>
      </c>
      <c r="AA68" s="8" t="n">
        <v>40</v>
      </c>
      <c r="AB68" s="8" t="n">
        <v>39</v>
      </c>
      <c r="AC68" s="8" t="n">
        <v>39</v>
      </c>
      <c r="AD68" s="8" t="n">
        <v>39</v>
      </c>
      <c r="AE68" s="8" t="n">
        <v>39</v>
      </c>
      <c r="AF68" s="8" t="n">
        <v>39.74</v>
      </c>
    </row>
    <row r="69">
      <c r="A69" s="14" t="inlineStr">
        <is>
          <t>23611780227</t>
        </is>
      </c>
      <c r="B69" s="14" t="inlineStr">
        <is>
          <t>56</t>
        </is>
      </c>
      <c r="C69" s="26" t="inlineStr">
        <is>
          <t>PANDIT JAYTESH J.</t>
        </is>
      </c>
      <c r="E69" s="8" t="n">
        <v>44</v>
      </c>
      <c r="F69" s="8" t="n">
        <v>44</v>
      </c>
      <c r="G69" s="8" t="n">
        <v>44</v>
      </c>
      <c r="H69" s="8" t="n">
        <v>44</v>
      </c>
      <c r="I69" s="8" t="n">
        <v>45</v>
      </c>
      <c r="J69" s="8" t="n">
        <v>45</v>
      </c>
      <c r="K69" s="8" t="n">
        <v>45</v>
      </c>
      <c r="L69" s="8" t="n">
        <v>45</v>
      </c>
      <c r="M69" s="8" t="n">
        <v>45</v>
      </c>
      <c r="N69" s="8" t="n">
        <v>45</v>
      </c>
      <c r="O69" s="8" t="n">
        <v>44</v>
      </c>
      <c r="P69" s="8" t="n">
        <v>44</v>
      </c>
      <c r="Q69" s="8" t="n">
        <v>44</v>
      </c>
      <c r="R69" s="8" t="n">
        <v>44</v>
      </c>
      <c r="S69" s="8" t="n">
        <v>44</v>
      </c>
      <c r="T69" s="8" t="n">
        <v>44</v>
      </c>
      <c r="U69" s="8" t="n">
        <v>44</v>
      </c>
      <c r="V69" s="8" t="n">
        <v>44</v>
      </c>
      <c r="W69" s="8" t="n">
        <v>44</v>
      </c>
      <c r="X69" s="8" t="n">
        <v>44</v>
      </c>
      <c r="Y69" s="8" t="n">
        <v>44</v>
      </c>
      <c r="Z69" s="8" t="n">
        <v>44</v>
      </c>
      <c r="AA69" s="8" t="n">
        <v>44</v>
      </c>
      <c r="AB69" s="8" t="n">
        <v>45</v>
      </c>
      <c r="AC69" s="8" t="n">
        <v>45</v>
      </c>
      <c r="AD69" s="8" t="n">
        <v>45</v>
      </c>
      <c r="AE69" s="8" t="n">
        <v>45</v>
      </c>
      <c r="AF69" s="8" t="n">
        <v>44.37</v>
      </c>
    </row>
    <row r="70">
      <c r="A70" s="14" t="inlineStr">
        <is>
          <t>23611780228</t>
        </is>
      </c>
      <c r="B70" s="14" t="inlineStr">
        <is>
          <t>57</t>
        </is>
      </c>
      <c r="C70" s="26" t="inlineStr">
        <is>
          <t>PATEL MAHI URVISH</t>
        </is>
      </c>
      <c r="E70" s="8" t="n">
        <v>44</v>
      </c>
      <c r="F70" s="8" t="n">
        <v>44</v>
      </c>
      <c r="G70" s="8" t="n">
        <v>44</v>
      </c>
      <c r="H70" s="8" t="n">
        <v>44</v>
      </c>
      <c r="I70" s="8" t="n">
        <v>45</v>
      </c>
      <c r="J70" s="8" t="n">
        <v>45</v>
      </c>
      <c r="K70" s="8" t="n">
        <v>45</v>
      </c>
      <c r="L70" s="8" t="n">
        <v>45</v>
      </c>
      <c r="M70" s="8" t="n">
        <v>45</v>
      </c>
      <c r="N70" s="8" t="n">
        <v>45</v>
      </c>
      <c r="O70" s="8" t="n">
        <v>44</v>
      </c>
      <c r="P70" s="8" t="n">
        <v>44</v>
      </c>
      <c r="Q70" s="8" t="n">
        <v>44</v>
      </c>
      <c r="R70" s="8" t="n">
        <v>44</v>
      </c>
      <c r="S70" s="8" t="n">
        <v>44</v>
      </c>
      <c r="T70" s="8" t="n">
        <v>44</v>
      </c>
      <c r="U70" s="8" t="n">
        <v>44</v>
      </c>
      <c r="V70" s="8" t="n">
        <v>44</v>
      </c>
      <c r="W70" s="8" t="n">
        <v>44</v>
      </c>
      <c r="X70" s="8" t="n">
        <v>44</v>
      </c>
      <c r="Y70" s="8" t="n">
        <v>44</v>
      </c>
      <c r="Z70" s="8" t="n">
        <v>44</v>
      </c>
      <c r="AA70" s="8" t="n">
        <v>44</v>
      </c>
      <c r="AB70" s="8" t="n">
        <v>45</v>
      </c>
      <c r="AC70" s="8" t="n">
        <v>45</v>
      </c>
      <c r="AD70" s="8" t="n">
        <v>45</v>
      </c>
      <c r="AE70" s="8" t="n">
        <v>45</v>
      </c>
      <c r="AF70" s="8" t="n">
        <v>44.37</v>
      </c>
    </row>
    <row r="71">
      <c r="A71" s="14" t="inlineStr">
        <is>
          <t>23611780230</t>
        </is>
      </c>
      <c r="B71" s="14" t="inlineStr">
        <is>
          <t>58</t>
        </is>
      </c>
      <c r="C71" s="26" t="inlineStr">
        <is>
          <t>PATIL VRUSHALI VINOD</t>
        </is>
      </c>
      <c r="E71" s="8" t="n">
        <v>45</v>
      </c>
      <c r="F71" s="8" t="n">
        <v>45</v>
      </c>
      <c r="G71" s="8" t="n">
        <v>45</v>
      </c>
      <c r="H71" s="8" t="n">
        <v>45</v>
      </c>
      <c r="I71" s="8" t="n">
        <v>45</v>
      </c>
      <c r="J71" s="8" t="n">
        <v>46</v>
      </c>
      <c r="K71" s="8" t="n">
        <v>46</v>
      </c>
      <c r="L71" s="8" t="n">
        <v>46</v>
      </c>
      <c r="M71" s="8" t="n">
        <v>46</v>
      </c>
      <c r="N71" s="8" t="n">
        <v>46</v>
      </c>
      <c r="O71" s="8" t="n">
        <v>44</v>
      </c>
      <c r="P71" s="8" t="n">
        <v>46</v>
      </c>
      <c r="Q71" s="8" t="n">
        <v>46</v>
      </c>
      <c r="R71" s="8" t="n">
        <v>46</v>
      </c>
      <c r="S71" s="8" t="n">
        <v>46</v>
      </c>
      <c r="T71" s="8" t="n">
        <v>46</v>
      </c>
      <c r="U71" s="8" t="n">
        <v>46</v>
      </c>
      <c r="V71" s="8" t="n">
        <v>46</v>
      </c>
      <c r="W71" s="8" t="n">
        <v>46</v>
      </c>
      <c r="X71" s="8" t="n">
        <v>45</v>
      </c>
      <c r="Y71" s="8" t="n">
        <v>45</v>
      </c>
      <c r="Z71" s="8" t="n">
        <v>46</v>
      </c>
      <c r="AA71" s="8" t="n">
        <v>46</v>
      </c>
      <c r="AB71" s="8" t="n">
        <v>45</v>
      </c>
      <c r="AC71" s="8" t="n">
        <v>45</v>
      </c>
      <c r="AD71" s="8" t="n">
        <v>45</v>
      </c>
      <c r="AE71" s="8" t="n">
        <v>45</v>
      </c>
      <c r="AF71" s="8" t="n">
        <v>45.52</v>
      </c>
    </row>
    <row r="72">
      <c r="A72" s="14" t="inlineStr">
        <is>
          <t>23611780231</t>
        </is>
      </c>
      <c r="B72" s="14" t="inlineStr">
        <is>
          <t>59</t>
        </is>
      </c>
      <c r="C72" s="26" t="inlineStr">
        <is>
          <t>SONAWANE SOHAM SOPAN</t>
        </is>
      </c>
      <c r="E72" s="8" t="n">
        <v>45</v>
      </c>
      <c r="F72" s="8" t="n">
        <v>45</v>
      </c>
      <c r="G72" s="8" t="n">
        <v>45</v>
      </c>
      <c r="H72" s="8" t="n">
        <v>45</v>
      </c>
      <c r="I72" s="8" t="n">
        <v>45</v>
      </c>
      <c r="J72" s="8" t="n">
        <v>46</v>
      </c>
      <c r="K72" s="8" t="n">
        <v>46</v>
      </c>
      <c r="L72" s="8" t="n">
        <v>46</v>
      </c>
      <c r="M72" s="8" t="n">
        <v>46</v>
      </c>
      <c r="N72" s="8" t="n">
        <v>46</v>
      </c>
      <c r="O72" s="8" t="n">
        <v>44</v>
      </c>
      <c r="P72" s="8" t="n">
        <v>46</v>
      </c>
      <c r="Q72" s="8" t="n">
        <v>46</v>
      </c>
      <c r="R72" s="8" t="n">
        <v>46</v>
      </c>
      <c r="S72" s="8" t="n">
        <v>46</v>
      </c>
      <c r="T72" s="8" t="n">
        <v>46</v>
      </c>
      <c r="U72" s="8" t="n">
        <v>46</v>
      </c>
      <c r="V72" s="8" t="n">
        <v>46</v>
      </c>
      <c r="W72" s="8" t="n">
        <v>46</v>
      </c>
      <c r="X72" s="8" t="n">
        <v>45</v>
      </c>
      <c r="Y72" s="8" t="n">
        <v>45</v>
      </c>
      <c r="Z72" s="8" t="n">
        <v>46</v>
      </c>
      <c r="AA72" s="8" t="n">
        <v>46</v>
      </c>
      <c r="AB72" s="8" t="n">
        <v>45</v>
      </c>
      <c r="AC72" s="8" t="n">
        <v>45</v>
      </c>
      <c r="AD72" s="8" t="n">
        <v>45</v>
      </c>
      <c r="AE72" s="8" t="n">
        <v>45</v>
      </c>
      <c r="AF72" s="8" t="n">
        <v>45.52</v>
      </c>
    </row>
    <row r="73">
      <c r="A73" s="14" t="inlineStr">
        <is>
          <t>23611780232</t>
        </is>
      </c>
      <c r="B73" s="14" t="inlineStr">
        <is>
          <t>60</t>
        </is>
      </c>
      <c r="C73" s="26" t="inlineStr">
        <is>
          <t>DESALE GAURI RAOSAHEB</t>
        </is>
      </c>
      <c r="E73" s="8" t="n">
        <v>45</v>
      </c>
      <c r="F73" s="8" t="n">
        <v>46</v>
      </c>
      <c r="G73" s="8" t="n">
        <v>45</v>
      </c>
      <c r="H73" s="8" t="n">
        <v>46</v>
      </c>
      <c r="I73" s="8" t="n">
        <v>45</v>
      </c>
      <c r="J73" s="8" t="n">
        <v>45</v>
      </c>
      <c r="K73" s="8" t="n">
        <v>46</v>
      </c>
      <c r="L73" s="8" t="n">
        <v>46</v>
      </c>
      <c r="M73" s="8" t="n">
        <v>45</v>
      </c>
      <c r="N73" s="8" t="n">
        <v>47</v>
      </c>
      <c r="O73" s="8" t="n">
        <v>46</v>
      </c>
      <c r="P73" s="8" t="n">
        <v>46</v>
      </c>
      <c r="Q73" s="8" t="n">
        <v>46</v>
      </c>
      <c r="R73" s="8" t="n">
        <v>46</v>
      </c>
      <c r="S73" s="8" t="n">
        <v>45</v>
      </c>
      <c r="T73" s="8" t="n">
        <v>46</v>
      </c>
      <c r="U73" s="8" t="n">
        <v>47</v>
      </c>
      <c r="V73" s="8" t="n">
        <v>45</v>
      </c>
      <c r="W73" s="8" t="n">
        <v>45</v>
      </c>
      <c r="X73" s="8" t="n">
        <v>46</v>
      </c>
      <c r="Y73" s="8" t="n">
        <v>47</v>
      </c>
      <c r="Z73" s="8" t="n">
        <v>47</v>
      </c>
      <c r="AA73" s="8" t="n">
        <v>46</v>
      </c>
      <c r="AB73" s="8" t="n">
        <v>46</v>
      </c>
      <c r="AC73" s="8" t="n">
        <v>46</v>
      </c>
      <c r="AD73" s="8" t="n">
        <v>46</v>
      </c>
      <c r="AE73" s="8" t="n">
        <v>46</v>
      </c>
      <c r="AF73" s="8" t="n">
        <v>45.85</v>
      </c>
    </row>
    <row r="74">
      <c r="A74" s="14" t="inlineStr">
        <is>
          <t>23611780233</t>
        </is>
      </c>
      <c r="B74" s="14" t="inlineStr">
        <is>
          <t>61</t>
        </is>
      </c>
      <c r="C74" s="26" t="inlineStr">
        <is>
          <t>BARHATE PRANJAL MADHAV</t>
        </is>
      </c>
      <c r="E74" s="8" t="n">
        <v>44</v>
      </c>
      <c r="F74" s="8" t="n">
        <v>44</v>
      </c>
      <c r="G74" s="8" t="n">
        <v>44</v>
      </c>
      <c r="H74" s="8" t="n">
        <v>44</v>
      </c>
      <c r="I74" s="8" t="n">
        <v>45</v>
      </c>
      <c r="J74" s="8" t="n">
        <v>45</v>
      </c>
      <c r="K74" s="8" t="n">
        <v>45</v>
      </c>
      <c r="L74" s="8" t="n">
        <v>45</v>
      </c>
      <c r="M74" s="8" t="n">
        <v>45</v>
      </c>
      <c r="N74" s="8" t="n">
        <v>45</v>
      </c>
      <c r="O74" s="8" t="n">
        <v>44</v>
      </c>
      <c r="P74" s="8" t="n">
        <v>44</v>
      </c>
      <c r="Q74" s="8" t="n">
        <v>44</v>
      </c>
      <c r="R74" s="8" t="n">
        <v>44</v>
      </c>
      <c r="S74" s="8" t="n">
        <v>44</v>
      </c>
      <c r="T74" s="8" t="n">
        <v>44</v>
      </c>
      <c r="U74" s="8" t="n">
        <v>44</v>
      </c>
      <c r="V74" s="8" t="n">
        <v>44</v>
      </c>
      <c r="W74" s="8" t="n">
        <v>44</v>
      </c>
      <c r="X74" s="8" t="n">
        <v>44</v>
      </c>
      <c r="Y74" s="8" t="n">
        <v>44</v>
      </c>
      <c r="Z74" s="8" t="n">
        <v>44</v>
      </c>
      <c r="AA74" s="8" t="n">
        <v>44</v>
      </c>
      <c r="AB74" s="8" t="n">
        <v>45</v>
      </c>
      <c r="AC74" s="8" t="n">
        <v>45</v>
      </c>
      <c r="AD74" s="8" t="n">
        <v>45</v>
      </c>
      <c r="AE74" s="8" t="n">
        <v>45</v>
      </c>
      <c r="AF74" s="8" t="n">
        <v>44.37</v>
      </c>
    </row>
    <row r="75">
      <c r="A75" s="14" t="inlineStr">
        <is>
          <t>23611780234</t>
        </is>
      </c>
      <c r="B75" s="14" t="inlineStr">
        <is>
          <t>62</t>
        </is>
      </c>
      <c r="C75" s="26" t="inlineStr">
        <is>
          <t>KANADE SARTHAK SUSHIL</t>
        </is>
      </c>
      <c r="E75" s="8" t="n">
        <v>44</v>
      </c>
      <c r="F75" s="8" t="n">
        <v>44</v>
      </c>
      <c r="G75" s="8" t="n">
        <v>44</v>
      </c>
      <c r="H75" s="8" t="n">
        <v>44</v>
      </c>
      <c r="I75" s="8" t="n">
        <v>45</v>
      </c>
      <c r="J75" s="8" t="n">
        <v>45</v>
      </c>
      <c r="K75" s="8" t="n">
        <v>45</v>
      </c>
      <c r="L75" s="8" t="n">
        <v>45</v>
      </c>
      <c r="M75" s="8" t="n">
        <v>45</v>
      </c>
      <c r="N75" s="8" t="n">
        <v>45</v>
      </c>
      <c r="O75" s="8" t="n">
        <v>44</v>
      </c>
      <c r="P75" s="8" t="n">
        <v>44</v>
      </c>
      <c r="Q75" s="8" t="n">
        <v>44</v>
      </c>
      <c r="R75" s="8" t="n">
        <v>44</v>
      </c>
      <c r="S75" s="8" t="n">
        <v>44</v>
      </c>
      <c r="T75" s="8" t="n">
        <v>44</v>
      </c>
      <c r="U75" s="8" t="n">
        <v>44</v>
      </c>
      <c r="V75" s="8" t="n">
        <v>44</v>
      </c>
      <c r="W75" s="8" t="n">
        <v>44</v>
      </c>
      <c r="X75" s="8" t="n">
        <v>44</v>
      </c>
      <c r="Y75" s="8" t="n">
        <v>44</v>
      </c>
      <c r="Z75" s="8" t="n">
        <v>44</v>
      </c>
      <c r="AA75" s="8" t="n">
        <v>44</v>
      </c>
      <c r="AB75" s="8" t="n">
        <v>45</v>
      </c>
      <c r="AC75" s="8" t="n">
        <v>45</v>
      </c>
      <c r="AD75" s="8" t="n">
        <v>45</v>
      </c>
      <c r="AE75" s="8" t="n">
        <v>45</v>
      </c>
      <c r="AF75" s="8" t="n">
        <v>44.37</v>
      </c>
    </row>
    <row r="76">
      <c r="A76" s="14" t="inlineStr">
        <is>
          <t>23611780235</t>
        </is>
      </c>
      <c r="B76" s="14" t="inlineStr">
        <is>
          <t>63</t>
        </is>
      </c>
      <c r="C76" s="26" t="inlineStr">
        <is>
          <t>NIGAL KHUSHI DNYANESHWAR</t>
        </is>
      </c>
      <c r="E76" s="8" t="n">
        <v>48</v>
      </c>
      <c r="F76" s="8" t="n">
        <v>47</v>
      </c>
      <c r="G76" s="8" t="n">
        <v>48</v>
      </c>
      <c r="H76" s="8" t="n">
        <v>49</v>
      </c>
      <c r="I76" s="8" t="n">
        <v>47</v>
      </c>
      <c r="J76" s="8" t="n">
        <v>48</v>
      </c>
      <c r="K76" s="8" t="n">
        <v>48</v>
      </c>
      <c r="L76" s="8" t="n">
        <v>47</v>
      </c>
      <c r="M76" s="8" t="n">
        <v>48</v>
      </c>
      <c r="N76" s="8" t="n">
        <v>48</v>
      </c>
      <c r="O76" s="8" t="n">
        <v>47</v>
      </c>
      <c r="P76" s="8" t="n">
        <v>48</v>
      </c>
      <c r="Q76" s="8" t="n">
        <v>48</v>
      </c>
      <c r="R76" s="8" t="n">
        <v>47</v>
      </c>
      <c r="S76" s="8" t="n">
        <v>48</v>
      </c>
      <c r="T76" s="8" t="n">
        <v>47</v>
      </c>
      <c r="U76" s="8" t="n">
        <v>47</v>
      </c>
      <c r="V76" s="8" t="n">
        <v>47</v>
      </c>
      <c r="W76" s="8" t="n">
        <v>48</v>
      </c>
      <c r="X76" s="8" t="n">
        <v>48</v>
      </c>
      <c r="Y76" s="8" t="n">
        <v>48</v>
      </c>
      <c r="Z76" s="8" t="n">
        <v>48</v>
      </c>
      <c r="AA76" s="8" t="n">
        <v>48</v>
      </c>
      <c r="AB76" s="8" t="n">
        <v>47</v>
      </c>
      <c r="AC76" s="8" t="n">
        <v>47</v>
      </c>
      <c r="AD76" s="8" t="n">
        <v>47</v>
      </c>
      <c r="AE76" s="8" t="n">
        <v>49</v>
      </c>
      <c r="AF76" s="8" t="n">
        <v>47.67</v>
      </c>
    </row>
    <row r="77">
      <c r="A77" s="14" t="inlineStr">
        <is>
          <t>23611780236</t>
        </is>
      </c>
      <c r="B77" s="14" t="inlineStr">
        <is>
          <t>64</t>
        </is>
      </c>
      <c r="C77" s="26" t="inlineStr">
        <is>
          <t>GALANKAR ARPITA SANJAY</t>
        </is>
      </c>
      <c r="E77" s="8" t="n">
        <v>48</v>
      </c>
      <c r="F77" s="8" t="n">
        <v>47</v>
      </c>
      <c r="G77" s="8" t="n">
        <v>48</v>
      </c>
      <c r="H77" s="8" t="n">
        <v>49</v>
      </c>
      <c r="I77" s="8" t="n">
        <v>47</v>
      </c>
      <c r="J77" s="8" t="n">
        <v>48</v>
      </c>
      <c r="K77" s="8" t="n">
        <v>48</v>
      </c>
      <c r="L77" s="8" t="n">
        <v>47</v>
      </c>
      <c r="M77" s="8" t="n">
        <v>48</v>
      </c>
      <c r="N77" s="8" t="n">
        <v>48</v>
      </c>
      <c r="O77" s="8" t="n">
        <v>47</v>
      </c>
      <c r="P77" s="8" t="n">
        <v>48</v>
      </c>
      <c r="Q77" s="8" t="n">
        <v>48</v>
      </c>
      <c r="R77" s="8" t="n">
        <v>47</v>
      </c>
      <c r="S77" s="8" t="n">
        <v>48</v>
      </c>
      <c r="T77" s="8" t="n">
        <v>47</v>
      </c>
      <c r="U77" s="8" t="n">
        <v>47</v>
      </c>
      <c r="V77" s="8" t="n">
        <v>47</v>
      </c>
      <c r="W77" s="8" t="n">
        <v>48</v>
      </c>
      <c r="X77" s="8" t="n">
        <v>48</v>
      </c>
      <c r="Y77" s="8" t="n">
        <v>48</v>
      </c>
      <c r="Z77" s="8" t="n">
        <v>48</v>
      </c>
      <c r="AA77" s="8" t="n">
        <v>48</v>
      </c>
      <c r="AB77" s="8" t="n">
        <v>47</v>
      </c>
      <c r="AC77" s="8" t="n">
        <v>47</v>
      </c>
      <c r="AD77" s="8" t="n">
        <v>47</v>
      </c>
      <c r="AE77" s="8" t="n">
        <v>49</v>
      </c>
      <c r="AF77" s="8" t="n">
        <v>47.67</v>
      </c>
    </row>
    <row r="78">
      <c r="A78" s="14" t="inlineStr">
        <is>
          <t>23611780237</t>
        </is>
      </c>
      <c r="B78" s="14" t="inlineStr">
        <is>
          <t>65</t>
        </is>
      </c>
      <c r="C78" s="26" t="inlineStr">
        <is>
          <t>DEORE GAYATRI RAMDAS</t>
        </is>
      </c>
      <c r="E78" s="8" t="n">
        <v>46</v>
      </c>
      <c r="F78" s="8" t="n">
        <v>47</v>
      </c>
      <c r="G78" s="8" t="n">
        <v>48</v>
      </c>
      <c r="H78" s="8" t="n">
        <v>49</v>
      </c>
      <c r="I78" s="8" t="n">
        <v>47</v>
      </c>
      <c r="J78" s="8" t="n">
        <v>48</v>
      </c>
      <c r="K78" s="8" t="n">
        <v>48</v>
      </c>
      <c r="L78" s="8" t="n">
        <v>47</v>
      </c>
      <c r="M78" s="8" t="n">
        <v>48</v>
      </c>
      <c r="N78" s="8" t="n">
        <v>48</v>
      </c>
      <c r="O78" s="8" t="n">
        <v>47</v>
      </c>
      <c r="P78" s="8" t="n">
        <v>48</v>
      </c>
      <c r="Q78" s="8" t="n">
        <v>48</v>
      </c>
      <c r="R78" s="8" t="n">
        <v>47</v>
      </c>
      <c r="S78" s="8" t="n">
        <v>48</v>
      </c>
      <c r="T78" s="8" t="n">
        <v>47</v>
      </c>
      <c r="U78" s="8" t="n">
        <v>47</v>
      </c>
      <c r="V78" s="8" t="n">
        <v>47</v>
      </c>
      <c r="W78" s="8" t="n">
        <v>47</v>
      </c>
      <c r="X78" s="8" t="n">
        <v>47</v>
      </c>
      <c r="Y78" s="8" t="n">
        <v>47</v>
      </c>
      <c r="Z78" s="8" t="n">
        <v>47</v>
      </c>
      <c r="AA78" s="8" t="n">
        <v>48</v>
      </c>
      <c r="AB78" s="8" t="n">
        <v>47</v>
      </c>
      <c r="AC78" s="8" t="n">
        <v>47</v>
      </c>
      <c r="AD78" s="8" t="n">
        <v>47</v>
      </c>
      <c r="AE78" s="8" t="n">
        <v>47</v>
      </c>
      <c r="AF78" s="8" t="n">
        <v>47.37</v>
      </c>
    </row>
    <row r="79">
      <c r="A79" s="14" t="inlineStr">
        <is>
          <t>24611780001</t>
        </is>
      </c>
      <c r="B79" s="14" t="inlineStr">
        <is>
          <t>66</t>
        </is>
      </c>
      <c r="C79" s="26" t="inlineStr">
        <is>
          <t>THAKARE KOMAL ATAMARAM</t>
        </is>
      </c>
      <c r="E79" s="8" t="n">
        <v>44</v>
      </c>
      <c r="F79" s="8" t="n">
        <v>44</v>
      </c>
      <c r="G79" s="8" t="n">
        <v>44</v>
      </c>
      <c r="H79" s="8" t="n">
        <v>44</v>
      </c>
      <c r="I79" s="8" t="n">
        <v>45</v>
      </c>
      <c r="J79" s="8" t="n">
        <v>45</v>
      </c>
      <c r="K79" s="8" t="n">
        <v>45</v>
      </c>
      <c r="L79" s="8" t="n">
        <v>45</v>
      </c>
      <c r="M79" s="8" t="n">
        <v>45</v>
      </c>
      <c r="N79" s="8" t="n">
        <v>45</v>
      </c>
      <c r="O79" s="8" t="n">
        <v>44</v>
      </c>
      <c r="P79" s="8" t="n">
        <v>44</v>
      </c>
      <c r="Q79" s="8" t="n">
        <v>44</v>
      </c>
      <c r="R79" s="8" t="n">
        <v>44</v>
      </c>
      <c r="S79" s="8" t="n">
        <v>44</v>
      </c>
      <c r="T79" s="8" t="n">
        <v>44</v>
      </c>
      <c r="U79" s="8" t="n">
        <v>44</v>
      </c>
      <c r="V79" s="8" t="n">
        <v>44</v>
      </c>
      <c r="W79" s="8" t="n">
        <v>44</v>
      </c>
      <c r="X79" s="8" t="n">
        <v>44</v>
      </c>
      <c r="Y79" s="8" t="n">
        <v>44</v>
      </c>
      <c r="Z79" s="8" t="n">
        <v>44</v>
      </c>
      <c r="AA79" s="8" t="n">
        <v>44</v>
      </c>
      <c r="AB79" s="8" t="n">
        <v>45</v>
      </c>
      <c r="AC79" s="8" t="n">
        <v>45</v>
      </c>
      <c r="AD79" s="8" t="n">
        <v>45</v>
      </c>
      <c r="AE79" s="8" t="n">
        <v>45</v>
      </c>
      <c r="AF79" s="8" t="n">
        <v>44.37</v>
      </c>
    </row>
    <row r="80">
      <c r="A80" s="14" t="inlineStr">
        <is>
          <t>24611780002</t>
        </is>
      </c>
      <c r="B80" s="14" t="inlineStr">
        <is>
          <t>67</t>
        </is>
      </c>
      <c r="C80" s="26" t="inlineStr">
        <is>
          <t>KHARE ASHLESHA YOGESH</t>
        </is>
      </c>
      <c r="E80" s="8" t="n">
        <v>44</v>
      </c>
      <c r="F80" s="8" t="n">
        <v>44</v>
      </c>
      <c r="G80" s="8" t="n">
        <v>44</v>
      </c>
      <c r="H80" s="8" t="n">
        <v>44</v>
      </c>
      <c r="I80" s="8" t="n">
        <v>45</v>
      </c>
      <c r="J80" s="8" t="n">
        <v>45</v>
      </c>
      <c r="K80" s="8" t="n">
        <v>45</v>
      </c>
      <c r="L80" s="8" t="n">
        <v>45</v>
      </c>
      <c r="M80" s="8" t="n">
        <v>45</v>
      </c>
      <c r="N80" s="8" t="n">
        <v>45</v>
      </c>
      <c r="O80" s="8" t="n">
        <v>44</v>
      </c>
      <c r="P80" s="8" t="n">
        <v>44</v>
      </c>
      <c r="Q80" s="8" t="n">
        <v>44</v>
      </c>
      <c r="R80" s="8" t="n">
        <v>44</v>
      </c>
      <c r="S80" s="8" t="n">
        <v>44</v>
      </c>
      <c r="T80" s="8" t="n">
        <v>44</v>
      </c>
      <c r="U80" s="8" t="n">
        <v>44</v>
      </c>
      <c r="V80" s="8" t="n">
        <v>44</v>
      </c>
      <c r="W80" s="8" t="n">
        <v>44</v>
      </c>
      <c r="X80" s="8" t="n">
        <v>44</v>
      </c>
      <c r="Y80" s="8" t="n">
        <v>44</v>
      </c>
      <c r="Z80" s="8" t="n">
        <v>44</v>
      </c>
      <c r="AA80" s="8" t="n">
        <v>44</v>
      </c>
      <c r="AB80" s="8" t="n">
        <v>45</v>
      </c>
      <c r="AC80" s="8" t="n">
        <v>45</v>
      </c>
      <c r="AD80" s="8" t="n">
        <v>45</v>
      </c>
      <c r="AE80" s="8" t="n">
        <v>45</v>
      </c>
      <c r="AF80" s="8" t="n">
        <v>44.37</v>
      </c>
    </row>
    <row r="81">
      <c r="A81" s="14" t="inlineStr">
        <is>
          <t>24611780003</t>
        </is>
      </c>
      <c r="B81" s="14" t="inlineStr">
        <is>
          <t>68</t>
        </is>
      </c>
      <c r="C81" s="26" t="inlineStr">
        <is>
          <t>DAWARE SAKSHI HARISHCHANDRA</t>
        </is>
      </c>
      <c r="E81" s="8" t="n">
        <v>44</v>
      </c>
      <c r="F81" s="8" t="n">
        <v>44</v>
      </c>
      <c r="G81" s="8" t="n">
        <v>44</v>
      </c>
      <c r="H81" s="8" t="n">
        <v>44</v>
      </c>
      <c r="I81" s="8" t="n">
        <v>44</v>
      </c>
      <c r="J81" s="8" t="n">
        <v>44</v>
      </c>
      <c r="K81" s="8" t="n">
        <v>44</v>
      </c>
      <c r="L81" s="8" t="n">
        <v>45</v>
      </c>
      <c r="M81" s="8" t="n">
        <v>44</v>
      </c>
      <c r="N81" s="8" t="n">
        <v>43</v>
      </c>
      <c r="O81" s="8" t="n">
        <v>44</v>
      </c>
      <c r="P81" s="8" t="n">
        <v>44</v>
      </c>
      <c r="Q81" s="8" t="n">
        <v>44</v>
      </c>
      <c r="R81" s="8" t="n">
        <v>44</v>
      </c>
      <c r="S81" s="8" t="n">
        <v>43</v>
      </c>
      <c r="T81" s="8" t="n">
        <v>43</v>
      </c>
      <c r="U81" s="8" t="n">
        <v>42</v>
      </c>
      <c r="V81" s="8" t="n">
        <v>43</v>
      </c>
      <c r="W81" s="8" t="n">
        <v>42</v>
      </c>
      <c r="X81" s="8" t="n">
        <v>43</v>
      </c>
      <c r="Y81" s="8" t="n">
        <v>44</v>
      </c>
      <c r="Z81" s="8" t="n">
        <v>44</v>
      </c>
      <c r="AA81" s="8" t="n">
        <v>44</v>
      </c>
      <c r="AB81" s="8" t="n">
        <v>44</v>
      </c>
      <c r="AC81" s="8" t="n">
        <v>44</v>
      </c>
      <c r="AD81" s="8" t="n">
        <v>44</v>
      </c>
      <c r="AE81" s="8" t="n">
        <v>44</v>
      </c>
      <c r="AF81" s="8" t="n">
        <v>43.7</v>
      </c>
    </row>
    <row r="82">
      <c r="A82" s="14" t="inlineStr">
        <is>
          <t>24611780004</t>
        </is>
      </c>
      <c r="B82" s="14" t="inlineStr">
        <is>
          <t>69</t>
        </is>
      </c>
      <c r="C82" s="26" t="inlineStr">
        <is>
          <t>JADHAV YASHSWINI RAJENDRA</t>
        </is>
      </c>
      <c r="E82" s="8" t="n">
        <v>44</v>
      </c>
      <c r="F82" s="8" t="n">
        <v>44</v>
      </c>
      <c r="G82" s="8" t="n">
        <v>44</v>
      </c>
      <c r="H82" s="8" t="n">
        <v>44</v>
      </c>
      <c r="I82" s="8" t="n">
        <v>45</v>
      </c>
      <c r="J82" s="8" t="n">
        <v>45</v>
      </c>
      <c r="K82" s="8" t="n">
        <v>45</v>
      </c>
      <c r="L82" s="8" t="n">
        <v>45</v>
      </c>
      <c r="M82" s="8" t="n">
        <v>45</v>
      </c>
      <c r="N82" s="8" t="n">
        <v>45</v>
      </c>
      <c r="O82" s="8" t="n">
        <v>44</v>
      </c>
      <c r="P82" s="8" t="n">
        <v>44</v>
      </c>
      <c r="Q82" s="8" t="n">
        <v>44</v>
      </c>
      <c r="R82" s="8" t="n">
        <v>44</v>
      </c>
      <c r="S82" s="8" t="n">
        <v>44</v>
      </c>
      <c r="T82" s="8" t="n">
        <v>44</v>
      </c>
      <c r="U82" s="8" t="n">
        <v>44</v>
      </c>
      <c r="V82" s="8" t="n">
        <v>44</v>
      </c>
      <c r="W82" s="8" t="n">
        <v>44</v>
      </c>
      <c r="X82" s="8" t="n">
        <v>44</v>
      </c>
      <c r="Y82" s="8" t="n">
        <v>44</v>
      </c>
      <c r="Z82" s="8" t="n">
        <v>44</v>
      </c>
      <c r="AA82" s="8" t="n">
        <v>44</v>
      </c>
      <c r="AB82" s="8" t="n">
        <v>45</v>
      </c>
      <c r="AC82" s="8" t="n">
        <v>45</v>
      </c>
      <c r="AD82" s="8" t="n">
        <v>45</v>
      </c>
      <c r="AE82" s="8" t="n">
        <v>45</v>
      </c>
      <c r="AF82" s="8" t="n">
        <v>44.37</v>
      </c>
    </row>
    <row r="83">
      <c r="A83" s="14" t="inlineStr">
        <is>
          <t>24611780005</t>
        </is>
      </c>
      <c r="B83" s="14" t="inlineStr">
        <is>
          <t>70</t>
        </is>
      </c>
      <c r="C83" s="26" t="inlineStr">
        <is>
          <t>SONAWANE ANUSHKA PANDIT</t>
        </is>
      </c>
      <c r="E83" s="8" t="n">
        <v>44</v>
      </c>
      <c r="F83" s="8" t="n">
        <v>44</v>
      </c>
      <c r="G83" s="8" t="n">
        <v>44</v>
      </c>
      <c r="H83" s="8" t="n">
        <v>44</v>
      </c>
      <c r="I83" s="8" t="n">
        <v>45</v>
      </c>
      <c r="J83" s="8" t="n">
        <v>45</v>
      </c>
      <c r="K83" s="8" t="n">
        <v>45</v>
      </c>
      <c r="L83" s="8" t="n">
        <v>45</v>
      </c>
      <c r="M83" s="8" t="n">
        <v>45</v>
      </c>
      <c r="N83" s="8" t="n">
        <v>45</v>
      </c>
      <c r="O83" s="8" t="n">
        <v>44</v>
      </c>
      <c r="P83" s="8" t="n">
        <v>44</v>
      </c>
      <c r="Q83" s="8" t="n">
        <v>44</v>
      </c>
      <c r="R83" s="8" t="n">
        <v>44</v>
      </c>
      <c r="S83" s="8" t="n">
        <v>44</v>
      </c>
      <c r="T83" s="8" t="n">
        <v>44</v>
      </c>
      <c r="U83" s="8" t="n">
        <v>44</v>
      </c>
      <c r="V83" s="8" t="n">
        <v>44</v>
      </c>
      <c r="W83" s="8" t="n">
        <v>44</v>
      </c>
      <c r="X83" s="8" t="n">
        <v>44</v>
      </c>
      <c r="Y83" s="8" t="n">
        <v>44</v>
      </c>
      <c r="Z83" s="8" t="n">
        <v>44</v>
      </c>
      <c r="AA83" s="8" t="n">
        <v>44</v>
      </c>
      <c r="AB83" s="8" t="n">
        <v>45</v>
      </c>
      <c r="AC83" s="8" t="n">
        <v>45</v>
      </c>
      <c r="AD83" s="8" t="n">
        <v>45</v>
      </c>
      <c r="AE83" s="8" t="n">
        <v>45</v>
      </c>
      <c r="AF83" s="8" t="n">
        <v>44.37</v>
      </c>
    </row>
    <row r="84">
      <c r="A84" s="14" t="inlineStr">
        <is>
          <t>24611780006</t>
        </is>
      </c>
      <c r="B84" s="14" t="inlineStr">
        <is>
          <t>71</t>
        </is>
      </c>
      <c r="C84" s="26" t="inlineStr">
        <is>
          <t>WARKE SAHIL GUNWANT</t>
        </is>
      </c>
      <c r="E84" s="8" t="n">
        <v>44</v>
      </c>
      <c r="F84" s="8" t="n">
        <v>43</v>
      </c>
      <c r="G84" s="8" t="n">
        <v>43</v>
      </c>
      <c r="H84" s="8" t="n">
        <v>43</v>
      </c>
      <c r="I84" s="8" t="n">
        <v>43</v>
      </c>
      <c r="J84" s="8" t="n">
        <v>43</v>
      </c>
      <c r="K84" s="8" t="n">
        <v>43</v>
      </c>
      <c r="L84" s="8" t="n">
        <v>43</v>
      </c>
      <c r="M84" s="8" t="n">
        <v>42</v>
      </c>
      <c r="N84" s="8" t="n">
        <v>42</v>
      </c>
      <c r="O84" s="8" t="n">
        <v>42</v>
      </c>
      <c r="P84" s="8" t="n">
        <v>42</v>
      </c>
      <c r="Q84" s="8" t="n">
        <v>43</v>
      </c>
      <c r="R84" s="8" t="n">
        <v>43</v>
      </c>
      <c r="S84" s="8" t="n">
        <v>43</v>
      </c>
      <c r="T84" s="8" t="n">
        <v>43</v>
      </c>
      <c r="U84" s="8" t="n">
        <v>43</v>
      </c>
      <c r="V84" s="8" t="n">
        <v>43</v>
      </c>
      <c r="W84" s="8" t="n">
        <v>43</v>
      </c>
      <c r="X84" s="8" t="n">
        <v>43</v>
      </c>
      <c r="Y84" s="8" t="n">
        <v>43</v>
      </c>
      <c r="Z84" s="8" t="n">
        <v>43</v>
      </c>
      <c r="AA84" s="8" t="n">
        <v>43</v>
      </c>
      <c r="AB84" s="8" t="n">
        <v>43</v>
      </c>
      <c r="AC84" s="8" t="n">
        <v>43</v>
      </c>
      <c r="AD84" s="8" t="n">
        <v>43</v>
      </c>
      <c r="AE84" s="8" t="n">
        <v>43</v>
      </c>
      <c r="AF84" s="8" t="n">
        <v>42.89</v>
      </c>
    </row>
    <row r="85">
      <c r="A85" s="14" t="inlineStr">
        <is>
          <t>24611780007</t>
        </is>
      </c>
      <c r="B85" s="14" t="inlineStr">
        <is>
          <t>72</t>
        </is>
      </c>
      <c r="C85" s="26" t="inlineStr">
        <is>
          <t>PAGAR DNYANESHWARI PADMAKAR</t>
        </is>
      </c>
      <c r="E85" s="8" t="n">
        <v>44</v>
      </c>
      <c r="F85" s="8" t="n">
        <v>44</v>
      </c>
      <c r="G85" s="8" t="n">
        <v>44</v>
      </c>
      <c r="H85" s="8" t="n">
        <v>44</v>
      </c>
      <c r="I85" s="8" t="n">
        <v>45</v>
      </c>
      <c r="J85" s="8" t="n">
        <v>45</v>
      </c>
      <c r="K85" s="8" t="n">
        <v>45</v>
      </c>
      <c r="L85" s="8" t="n">
        <v>45</v>
      </c>
      <c r="M85" s="8" t="n">
        <v>45</v>
      </c>
      <c r="N85" s="8" t="n">
        <v>45</v>
      </c>
      <c r="O85" s="8" t="n">
        <v>44</v>
      </c>
      <c r="P85" s="8" t="n">
        <v>44</v>
      </c>
      <c r="Q85" s="8" t="n">
        <v>44</v>
      </c>
      <c r="R85" s="8" t="n">
        <v>44</v>
      </c>
      <c r="S85" s="8" t="n">
        <v>44</v>
      </c>
      <c r="T85" s="8" t="n">
        <v>44</v>
      </c>
      <c r="U85" s="8" t="n">
        <v>44</v>
      </c>
      <c r="V85" s="8" t="n">
        <v>44</v>
      </c>
      <c r="W85" s="8" t="n">
        <v>44</v>
      </c>
      <c r="X85" s="8" t="n">
        <v>44</v>
      </c>
      <c r="Y85" s="8" t="n">
        <v>44</v>
      </c>
      <c r="Z85" s="8" t="n">
        <v>44</v>
      </c>
      <c r="AA85" s="8" t="n">
        <v>44</v>
      </c>
      <c r="AB85" s="8" t="n">
        <v>45</v>
      </c>
      <c r="AC85" s="8" t="n">
        <v>45</v>
      </c>
      <c r="AD85" s="8" t="n">
        <v>45</v>
      </c>
      <c r="AE85" s="8" t="n">
        <v>45</v>
      </c>
      <c r="AF85" s="8" t="n">
        <v>44.37</v>
      </c>
    </row>
    <row r="86">
      <c r="A86" s="27" t="inlineStr">
        <is>
          <t>Average</t>
        </is>
      </c>
      <c r="E86" s="8">
        <f>IFERROR(ROUND(AVERAGE(E14:E85), 2), 0)</f>
        <v/>
      </c>
      <c r="F86" s="8">
        <f>IFERROR(ROUND(AVERAGE(F14:F85), 2), 0)</f>
        <v/>
      </c>
      <c r="G86" s="8">
        <f>IFERROR(ROUND(AVERAGE(G14:G85), 2), 0)</f>
        <v/>
      </c>
      <c r="H86" s="8">
        <f>IFERROR(ROUND(AVERAGE(H14:H85), 2), 0)</f>
        <v/>
      </c>
      <c r="I86" s="8">
        <f>IFERROR(ROUND(AVERAGE(I14:I85), 2), 0)</f>
        <v/>
      </c>
      <c r="J86" s="8">
        <f>IFERROR(ROUND(AVERAGE(J14:J85), 2), 0)</f>
        <v/>
      </c>
      <c r="K86" s="8">
        <f>IFERROR(ROUND(AVERAGE(K14:K85), 2), 0)</f>
        <v/>
      </c>
      <c r="L86" s="8">
        <f>IFERROR(ROUND(AVERAGE(L14:L85), 2), 0)</f>
        <v/>
      </c>
      <c r="M86" s="8">
        <f>IFERROR(ROUND(AVERAGE(M14:M85), 2), 0)</f>
        <v/>
      </c>
      <c r="N86" s="8">
        <f>IFERROR(ROUND(AVERAGE(N14:N85), 2), 0)</f>
        <v/>
      </c>
      <c r="O86" s="8">
        <f>IFERROR(ROUND(AVERAGE(O14:O85), 2), 0)</f>
        <v/>
      </c>
      <c r="P86" s="8">
        <f>IFERROR(ROUND(AVERAGE(P14:P85), 2), 0)</f>
        <v/>
      </c>
      <c r="Q86" s="8">
        <f>IFERROR(ROUND(AVERAGE(Q14:Q85), 2), 0)</f>
        <v/>
      </c>
      <c r="R86" s="8">
        <f>IFERROR(ROUND(AVERAGE(R14:R85), 2), 0)</f>
        <v/>
      </c>
      <c r="S86" s="8">
        <f>IFERROR(ROUND(AVERAGE(S14:S85), 2), 0)</f>
        <v/>
      </c>
      <c r="T86" s="8">
        <f>IFERROR(ROUND(AVERAGE(T14:T85), 2), 0)</f>
        <v/>
      </c>
      <c r="U86" s="8">
        <f>IFERROR(ROUND(AVERAGE(U14:U85), 2), 0)</f>
        <v/>
      </c>
      <c r="V86" s="8">
        <f>IFERROR(ROUND(AVERAGE(V14:V85), 2), 0)</f>
        <v/>
      </c>
      <c r="W86" s="8">
        <f>IFERROR(ROUND(AVERAGE(W14:W85), 2), 0)</f>
        <v/>
      </c>
      <c r="X86" s="8">
        <f>IFERROR(ROUND(AVERAGE(X14:X85), 2), 0)</f>
        <v/>
      </c>
      <c r="Y86" s="8">
        <f>IFERROR(ROUND(AVERAGE(Y14:Y85), 2), 0)</f>
        <v/>
      </c>
      <c r="Z86" s="8">
        <f>IFERROR(ROUND(AVERAGE(Z14:Z85), 2), 0)</f>
        <v/>
      </c>
      <c r="AA86" s="8">
        <f>IFERROR(ROUND(AVERAGE(AA14:AA85), 2), 0)</f>
        <v/>
      </c>
      <c r="AB86" s="8">
        <f>IFERROR(ROUND(AVERAGE(AB14:AB85), 2), 0)</f>
        <v/>
      </c>
      <c r="AC86" s="8">
        <f>IFERROR(ROUND(AVERAGE(AC14:AC85), 2), 0)</f>
        <v/>
      </c>
      <c r="AD86" s="8">
        <f>IFERROR(ROUND(AVERAGE(AD14:AD85), 2), 0)</f>
        <v/>
      </c>
      <c r="AE86" s="8">
        <f>IFERROR(ROUND(AVERAGE(AE14:AE85), 2), 0)</f>
        <v/>
      </c>
      <c r="AF86" s="28">
        <f>IFERROR(ROUND(AVERAGE(AF14:AF85), 2), 0)</f>
        <v/>
      </c>
    </row>
    <row r="87">
      <c r="A87" s="27" t="inlineStr">
        <is>
          <t>Total Appeared</t>
        </is>
      </c>
      <c r="E87" s="8">
        <f>COUNT(E14:E85)</f>
        <v/>
      </c>
      <c r="F87" s="8">
        <f>COUNT(F14:F85)</f>
        <v/>
      </c>
      <c r="G87" s="8">
        <f>COUNT(G14:G85)</f>
        <v/>
      </c>
      <c r="H87" s="8">
        <f>COUNT(H14:H85)</f>
        <v/>
      </c>
      <c r="I87" s="8">
        <f>COUNT(I14:I85)</f>
        <v/>
      </c>
      <c r="J87" s="8">
        <f>COUNT(J14:J85)</f>
        <v/>
      </c>
      <c r="K87" s="8">
        <f>COUNT(K14:K85)</f>
        <v/>
      </c>
      <c r="L87" s="8">
        <f>COUNT(L14:L85)</f>
        <v/>
      </c>
      <c r="M87" s="8">
        <f>COUNT(M14:M85)</f>
        <v/>
      </c>
      <c r="N87" s="8">
        <f>COUNT(N14:N85)</f>
        <v/>
      </c>
      <c r="O87" s="8">
        <f>COUNT(O14:O85)</f>
        <v/>
      </c>
      <c r="P87" s="8">
        <f>COUNT(P14:P85)</f>
        <v/>
      </c>
      <c r="Q87" s="8">
        <f>COUNT(Q14:Q85)</f>
        <v/>
      </c>
      <c r="R87" s="8">
        <f>COUNT(R14:R85)</f>
        <v/>
      </c>
      <c r="S87" s="8">
        <f>COUNT(S14:S85)</f>
        <v/>
      </c>
      <c r="T87" s="8">
        <f>COUNT(T14:T85)</f>
        <v/>
      </c>
      <c r="U87" s="8">
        <f>COUNT(U14:U85)</f>
        <v/>
      </c>
      <c r="V87" s="8">
        <f>COUNT(V14:V85)</f>
        <v/>
      </c>
      <c r="W87" s="8">
        <f>COUNT(W14:W85)</f>
        <v/>
      </c>
      <c r="X87" s="8">
        <f>COUNT(X14:X85)</f>
        <v/>
      </c>
      <c r="Y87" s="8">
        <f>COUNT(Y14:Y85)</f>
        <v/>
      </c>
      <c r="Z87" s="8">
        <f>COUNT(Z14:Z85)</f>
        <v/>
      </c>
      <c r="AA87" s="8">
        <f>COUNT(AA14:AA85)</f>
        <v/>
      </c>
      <c r="AB87" s="8">
        <f>COUNT(AB14:AB85)</f>
        <v/>
      </c>
      <c r="AC87" s="8">
        <f>COUNT(AC14:AC85)</f>
        <v/>
      </c>
      <c r="AD87" s="8">
        <f>COUNT(AD14:AD85)</f>
        <v/>
      </c>
      <c r="AE87" s="8">
        <f>COUNT(AE14:AE85)</f>
        <v/>
      </c>
      <c r="AF87" s="28">
        <f>COUNT(AF14:AF85)</f>
        <v/>
      </c>
    </row>
    <row r="88">
      <c r="A88" s="27" t="inlineStr">
        <is>
          <t>% above Avg</t>
        </is>
      </c>
      <c r="E88" s="8">
        <f>IF(AND(COUNT(E14:E85)&gt;0, E86&gt;0), ROUND(COUNTIF(E14:E85, "&gt;="&amp;E86) / COUNT(E14:E85) * 100, 2) &amp; "%", "0%")</f>
        <v/>
      </c>
      <c r="F88" s="8">
        <f>IF(AND(COUNT(F14:F85)&gt;0, F86&gt;0), ROUND(COUNTIF(F14:F85, "&gt;="&amp;F86) / COUNT(F14:F85) * 100, 2) &amp; "%", "0%")</f>
        <v/>
      </c>
      <c r="G88" s="8">
        <f>IF(AND(COUNT(G14:G85)&gt;0, G86&gt;0), ROUND(COUNTIF(G14:G85, "&gt;="&amp;G86) / COUNT(G14:G85) * 100, 2) &amp; "%", "0%")</f>
        <v/>
      </c>
      <c r="H88" s="8">
        <f>IF(AND(COUNT(H14:H85)&gt;0, H86&gt;0), ROUND(COUNTIF(H14:H85, "&gt;="&amp;H86) / COUNT(H14:H85) * 100, 2) &amp; "%", "0%")</f>
        <v/>
      </c>
      <c r="I88" s="8">
        <f>IF(AND(COUNT(I14:I85)&gt;0, I86&gt;0), ROUND(COUNTIF(I14:I85, "&gt;="&amp;I86) / COUNT(I14:I85) * 100, 2) &amp; "%", "0%")</f>
        <v/>
      </c>
      <c r="J88" s="8">
        <f>IF(AND(COUNT(J14:J85)&gt;0, J86&gt;0), ROUND(COUNTIF(J14:J85, "&gt;="&amp;J86) / COUNT(J14:J85) * 100, 2) &amp; "%", "0%")</f>
        <v/>
      </c>
      <c r="K88" s="8">
        <f>IF(AND(COUNT(K14:K85)&gt;0, K86&gt;0), ROUND(COUNTIF(K14:K85, "&gt;="&amp;K86) / COUNT(K14:K85) * 100, 2) &amp; "%", "0%")</f>
        <v/>
      </c>
      <c r="L88" s="8">
        <f>IF(AND(COUNT(L14:L85)&gt;0, L86&gt;0), ROUND(COUNTIF(L14:L85, "&gt;="&amp;L86) / COUNT(L14:L85) * 100, 2) &amp; "%", "0%")</f>
        <v/>
      </c>
      <c r="M88" s="8">
        <f>IF(AND(COUNT(M14:M85)&gt;0, M86&gt;0), ROUND(COUNTIF(M14:M85, "&gt;="&amp;M86) / COUNT(M14:M85) * 100, 2) &amp; "%", "0%")</f>
        <v/>
      </c>
      <c r="N88" s="8">
        <f>IF(AND(COUNT(N14:N85)&gt;0, N86&gt;0), ROUND(COUNTIF(N14:N85, "&gt;="&amp;N86) / COUNT(N14:N85) * 100, 2) &amp; "%", "0%")</f>
        <v/>
      </c>
      <c r="O88" s="8">
        <f>IF(AND(COUNT(O14:O85)&gt;0, O86&gt;0), ROUND(COUNTIF(O14:O85, "&gt;="&amp;O86) / COUNT(O14:O85) * 100, 2) &amp; "%", "0%")</f>
        <v/>
      </c>
      <c r="P88" s="8">
        <f>IF(AND(COUNT(P14:P85)&gt;0, P86&gt;0), ROUND(COUNTIF(P14:P85, "&gt;="&amp;P86) / COUNT(P14:P85) * 100, 2) &amp; "%", "0%")</f>
        <v/>
      </c>
      <c r="Q88" s="8">
        <f>IF(AND(COUNT(Q14:Q85)&gt;0, Q86&gt;0), ROUND(COUNTIF(Q14:Q85, "&gt;="&amp;Q86) / COUNT(Q14:Q85) * 100, 2) &amp; "%", "0%")</f>
        <v/>
      </c>
      <c r="R88" s="8">
        <f>IF(AND(COUNT(R14:R85)&gt;0, R86&gt;0), ROUND(COUNTIF(R14:R85, "&gt;="&amp;R86) / COUNT(R14:R85) * 100, 2) &amp; "%", "0%")</f>
        <v/>
      </c>
      <c r="S88" s="8">
        <f>IF(AND(COUNT(S14:S85)&gt;0, S86&gt;0), ROUND(COUNTIF(S14:S85, "&gt;="&amp;S86) / COUNT(S14:S85) * 100, 2) &amp; "%", "0%")</f>
        <v/>
      </c>
      <c r="T88" s="8">
        <f>IF(AND(COUNT(T14:T85)&gt;0, T86&gt;0), ROUND(COUNTIF(T14:T85, "&gt;="&amp;T86) / COUNT(T14:T85) * 100, 2) &amp; "%", "0%")</f>
        <v/>
      </c>
      <c r="U88" s="8">
        <f>IF(AND(COUNT(U14:U85)&gt;0, U86&gt;0), ROUND(COUNTIF(U14:U85, "&gt;="&amp;U86) / COUNT(U14:U85) * 100, 2) &amp; "%", "0%")</f>
        <v/>
      </c>
      <c r="V88" s="8">
        <f>IF(AND(COUNT(V14:V85)&gt;0, V86&gt;0), ROUND(COUNTIF(V14:V85, "&gt;="&amp;V86) / COUNT(V14:V85) * 100, 2) &amp; "%", "0%")</f>
        <v/>
      </c>
      <c r="W88" s="8">
        <f>IF(AND(COUNT(W14:W85)&gt;0, W86&gt;0), ROUND(COUNTIF(W14:W85, "&gt;="&amp;W86) / COUNT(W14:W85) * 100, 2) &amp; "%", "0%")</f>
        <v/>
      </c>
      <c r="X88" s="8">
        <f>IF(AND(COUNT(X14:X85)&gt;0, X86&gt;0), ROUND(COUNTIF(X14:X85, "&gt;="&amp;X86) / COUNT(X14:X85) * 100, 2) &amp; "%", "0%")</f>
        <v/>
      </c>
      <c r="Y88" s="8">
        <f>IF(AND(COUNT(Y14:Y85)&gt;0, Y86&gt;0), ROUND(COUNTIF(Y14:Y85, "&gt;="&amp;Y86) / COUNT(Y14:Y85) * 100, 2) &amp; "%", "0%")</f>
        <v/>
      </c>
      <c r="Z88" s="8">
        <f>IF(AND(COUNT(Z14:Z85)&gt;0, Z86&gt;0), ROUND(COUNTIF(Z14:Z85, "&gt;="&amp;Z86) / COUNT(Z14:Z85) * 100, 2) &amp; "%", "0%")</f>
        <v/>
      </c>
      <c r="AA88" s="8">
        <f>IF(AND(COUNT(AA14:AA85)&gt;0, AA86&gt;0), ROUND(COUNTIF(AA14:AA85, "&gt;="&amp;AA86) / COUNT(AA14:AA85) * 100, 2) &amp; "%", "0%")</f>
        <v/>
      </c>
      <c r="AB88" s="8">
        <f>IF(AND(COUNT(AB14:AB85)&gt;0, AB86&gt;0), ROUND(COUNTIF(AB14:AB85, "&gt;="&amp;AB86) / COUNT(AB14:AB85) * 100, 2) &amp; "%", "0%")</f>
        <v/>
      </c>
      <c r="AC88" s="8">
        <f>IF(AND(COUNT(AC14:AC85)&gt;0, AC86&gt;0), ROUND(COUNTIF(AC14:AC85, "&gt;="&amp;AC86) / COUNT(AC14:AC85) * 100, 2) &amp; "%", "0%")</f>
        <v/>
      </c>
      <c r="AD88" s="8">
        <f>IF(AND(COUNT(AD14:AD85)&gt;0, AD86&gt;0), ROUND(COUNTIF(AD14:AD85, "&gt;="&amp;AD86) / COUNT(AD14:AD85) * 100, 2) &amp; "%", "0%")</f>
        <v/>
      </c>
      <c r="AE88" s="8">
        <f>IF(AND(COUNT(AE14:AE85)&gt;0, AE86&gt;0), ROUND(COUNTIF(AE14:AE85, "&gt;="&amp;AE86) / COUNT(AE14:AE85) * 100, 2) &amp; "%", "0%")</f>
        <v/>
      </c>
      <c r="AF88" s="28">
        <f>IF(AND(COUNT(AF14:AF85)&gt;0, AF86&gt;0), ROUND(COUNTIF(AF14:AF85, "&gt;="&amp;AF86) / COUNT(AF14:AF85) * 100, 2) &amp; "%", "0%")</f>
        <v/>
      </c>
    </row>
    <row r="89">
      <c r="A89" s="27" t="inlineStr">
        <is>
          <t>CO Attainment</t>
        </is>
      </c>
      <c r="E89" s="8" t="n">
        <v>0</v>
      </c>
      <c r="F89" s="8" t="n">
        <v>1.97</v>
      </c>
      <c r="G89" s="8" t="n">
        <v>1.97</v>
      </c>
      <c r="H89" s="8" t="n">
        <v>1.97</v>
      </c>
      <c r="I89" s="8" t="n">
        <v>1.97</v>
      </c>
      <c r="J89" s="8" t="n">
        <v>1.97</v>
      </c>
      <c r="K89" s="8" t="n">
        <v>1.97</v>
      </c>
      <c r="L89" s="8" t="n">
        <v>1.97</v>
      </c>
      <c r="M89" s="8" t="n">
        <v>1.97</v>
      </c>
      <c r="N89" s="8" t="n">
        <v>1.97</v>
      </c>
      <c r="O89" s="8" t="n">
        <v>1.97</v>
      </c>
      <c r="P89" s="8" t="n">
        <v>1.57</v>
      </c>
      <c r="Q89" s="8" t="n">
        <v>1.57</v>
      </c>
      <c r="R89" s="8" t="n">
        <v>1.57</v>
      </c>
      <c r="S89" s="8" t="n">
        <v>1.57</v>
      </c>
      <c r="T89" s="8" t="n">
        <v>1.58</v>
      </c>
      <c r="U89" s="8" t="n">
        <v>1.58</v>
      </c>
      <c r="V89" s="8" t="n">
        <v>1.58</v>
      </c>
      <c r="W89" s="8" t="n">
        <v>1.58</v>
      </c>
      <c r="X89" s="8" t="n">
        <v>1.58</v>
      </c>
      <c r="Y89" s="8" t="n">
        <v>1.8</v>
      </c>
      <c r="Z89" s="8" t="n">
        <v>1.8</v>
      </c>
      <c r="AA89" s="8" t="n">
        <v>1.8</v>
      </c>
      <c r="AB89" s="8" t="n">
        <v>1.8</v>
      </c>
      <c r="AC89" s="8" t="n">
        <v>1.8</v>
      </c>
      <c r="AD89" s="8" t="n">
        <v>2.23</v>
      </c>
      <c r="AE89" s="8" t="n">
        <v>2.23</v>
      </c>
      <c r="AF89" s="28" t="n">
        <v>1.54</v>
      </c>
    </row>
    <row r="91">
      <c r="B91" s="29" t="inlineStr">
        <is>
          <t>CO attainment through FA-PR</t>
        </is>
      </c>
    </row>
    <row r="92">
      <c r="B92" s="30" t="inlineStr">
        <is>
          <t>% CO Attained</t>
        </is>
      </c>
      <c r="C92" s="30" t="inlineStr">
        <is>
          <t>CO attainment</t>
        </is>
      </c>
    </row>
    <row r="93">
      <c r="B93" s="8" t="inlineStr">
        <is>
          <t>CO1</t>
        </is>
      </c>
      <c r="C93" s="9" t="n">
        <v>43.06</v>
      </c>
      <c r="D93" s="8" t="n">
        <v>0</v>
      </c>
    </row>
    <row r="94">
      <c r="B94" s="8" t="inlineStr">
        <is>
          <t>CO2</t>
        </is>
      </c>
      <c r="C94" s="9" t="n">
        <v>64.31</v>
      </c>
      <c r="D94" s="8" t="n">
        <v>1.97</v>
      </c>
    </row>
    <row r="95">
      <c r="B95" s="8" t="inlineStr">
        <is>
          <t>CO3</t>
        </is>
      </c>
      <c r="C95" s="9" t="n">
        <v>51.74</v>
      </c>
      <c r="D95" s="8" t="n">
        <v>1.57</v>
      </c>
    </row>
    <row r="96">
      <c r="B96" s="8" t="inlineStr">
        <is>
          <t>CO4</t>
        </is>
      </c>
      <c r="C96" s="9" t="n">
        <v>51.39</v>
      </c>
      <c r="D96" s="8" t="n">
        <v>1.58</v>
      </c>
    </row>
    <row r="97">
      <c r="B97" s="8" t="inlineStr">
        <is>
          <t>CO5</t>
        </is>
      </c>
      <c r="C97" s="9" t="n">
        <v>58.61</v>
      </c>
      <c r="D97" s="8" t="n">
        <v>1.8</v>
      </c>
    </row>
    <row r="98">
      <c r="B98" s="8" t="inlineStr">
        <is>
          <t>CO6</t>
        </is>
      </c>
      <c r="C98" s="9" t="n">
        <v>72.92</v>
      </c>
      <c r="D98" s="8" t="n">
        <v>2.23</v>
      </c>
    </row>
  </sheetData>
  <mergeCells count="26">
    <mergeCell ref="C92:D92"/>
    <mergeCell ref="C3:M3"/>
    <mergeCell ref="A89:C89"/>
    <mergeCell ref="C11:C13"/>
    <mergeCell ref="C9:K9"/>
    <mergeCell ref="AF11:AF13"/>
    <mergeCell ref="A1:B3"/>
    <mergeCell ref="A6:B6"/>
    <mergeCell ref="A86:C86"/>
    <mergeCell ref="A7:B7"/>
    <mergeCell ref="A87:C87"/>
    <mergeCell ref="C1:M1"/>
    <mergeCell ref="C8:K8"/>
    <mergeCell ref="C7:K7"/>
    <mergeCell ref="A5:B5"/>
    <mergeCell ref="A11:A13"/>
    <mergeCell ref="C2:M2"/>
    <mergeCell ref="B11:B13"/>
    <mergeCell ref="B91:D91"/>
    <mergeCell ref="A8:B8"/>
    <mergeCell ref="C6:K6"/>
    <mergeCell ref="A4:B4"/>
    <mergeCell ref="C5:K5"/>
    <mergeCell ref="A88:C88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n"/>
      <c r="C1" s="2" t="inlineStr">
        <is>
          <t>Sandip Polytechnic, Nashik</t>
        </is>
      </c>
      <c r="N1" s="3" t="inlineStr">
        <is>
          <t>SLA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SLA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0">
      <c r="A10" s="19" t="inlineStr">
        <is>
          <t>ENROLLMENT NO.</t>
        </is>
      </c>
      <c r="B10" s="19" t="inlineStr">
        <is>
          <t>Roll no.</t>
        </is>
      </c>
      <c r="C10" s="19" t="inlineStr">
        <is>
          <t>Name of Student</t>
        </is>
      </c>
      <c r="D10" s="7" t="inlineStr">
        <is>
          <t>Assignment 01</t>
        </is>
      </c>
      <c r="E10" s="7" t="inlineStr">
        <is>
          <t>Assignment 02</t>
        </is>
      </c>
      <c r="F10" s="7" t="inlineStr">
        <is>
          <t>Assignment 03</t>
        </is>
      </c>
      <c r="G10" s="7" t="inlineStr">
        <is>
          <t>Assignment 04</t>
        </is>
      </c>
      <c r="H10" s="7" t="inlineStr">
        <is>
          <t>Assignment 05</t>
        </is>
      </c>
      <c r="I10" s="7" t="inlineStr">
        <is>
          <t>Assignment 06</t>
        </is>
      </c>
      <c r="J10" s="7" t="inlineStr">
        <is>
          <t>Total</t>
        </is>
      </c>
    </row>
    <row r="11">
      <c r="A11" s="14" t="inlineStr">
        <is>
          <t>23611780171</t>
        </is>
      </c>
      <c r="B11" s="14" t="inlineStr">
        <is>
          <t>1</t>
        </is>
      </c>
      <c r="C11" s="26" t="inlineStr">
        <is>
          <t>MORE LALIT DILIP</t>
        </is>
      </c>
      <c r="D11" s="8" t="n">
        <v>17</v>
      </c>
      <c r="E11" s="8" t="n">
        <v>16</v>
      </c>
      <c r="F11" s="8" t="n">
        <v>19</v>
      </c>
      <c r="G11" s="8" t="n">
        <v>19</v>
      </c>
      <c r="H11" s="8" t="n">
        <v>19</v>
      </c>
      <c r="I11" s="8" t="n">
        <v>19</v>
      </c>
      <c r="J11" s="8" t="n">
        <v>18.17</v>
      </c>
    </row>
    <row r="12">
      <c r="A12" s="14" t="inlineStr">
        <is>
          <t>23611780172</t>
        </is>
      </c>
      <c r="B12" s="14" t="inlineStr">
        <is>
          <t>2</t>
        </is>
      </c>
      <c r="C12" s="26" t="inlineStr">
        <is>
          <t>JAGZAP ANIL NANA</t>
        </is>
      </c>
      <c r="D12" s="8" t="n">
        <v>23</v>
      </c>
      <c r="E12" s="8" t="n">
        <v>25</v>
      </c>
      <c r="F12" s="8" t="n">
        <v>21</v>
      </c>
      <c r="G12" s="8" t="n">
        <v>22</v>
      </c>
      <c r="H12" s="8" t="n">
        <v>24</v>
      </c>
      <c r="I12" s="8" t="n">
        <v>14</v>
      </c>
      <c r="J12" s="8" t="n">
        <v>21.5</v>
      </c>
    </row>
    <row r="13">
      <c r="A13" s="14" t="inlineStr">
        <is>
          <t>23611780173</t>
        </is>
      </c>
      <c r="B13" s="14" t="inlineStr">
        <is>
          <t>3</t>
        </is>
      </c>
      <c r="C13" s="26" t="inlineStr">
        <is>
          <t>NIKAM NIRANJAN SATISH</t>
        </is>
      </c>
      <c r="D13" s="8" t="n">
        <v>15</v>
      </c>
      <c r="E13" s="8" t="n">
        <v>13</v>
      </c>
      <c r="F13" s="8" t="n">
        <v>16</v>
      </c>
      <c r="G13" s="8" t="n">
        <v>15</v>
      </c>
      <c r="H13" s="8" t="n">
        <v>16</v>
      </c>
      <c r="I13" s="8" t="n">
        <v>10</v>
      </c>
      <c r="J13" s="8" t="n">
        <v>14.17</v>
      </c>
    </row>
    <row r="14">
      <c r="A14" s="14" t="inlineStr">
        <is>
          <t>23611780174</t>
        </is>
      </c>
      <c r="B14" s="14" t="inlineStr">
        <is>
          <t>4</t>
        </is>
      </c>
      <c r="C14" s="26" t="inlineStr">
        <is>
          <t>BIDAIT VAIBHAV BALASAHEB</t>
        </is>
      </c>
      <c r="D14" s="8" t="n">
        <v>25</v>
      </c>
      <c r="E14" s="8" t="n">
        <v>19</v>
      </c>
      <c r="F14" s="8" t="n">
        <v>20</v>
      </c>
      <c r="G14" s="8" t="n">
        <v>22</v>
      </c>
      <c r="H14" s="8" t="n">
        <v>19</v>
      </c>
      <c r="I14" s="8" t="n">
        <v>3</v>
      </c>
      <c r="J14" s="8" t="n">
        <v>18</v>
      </c>
    </row>
    <row r="15">
      <c r="A15" s="14" t="inlineStr">
        <is>
          <t>23611780175</t>
        </is>
      </c>
      <c r="B15" s="14" t="inlineStr">
        <is>
          <t>5</t>
        </is>
      </c>
      <c r="C15" s="26" t="inlineStr">
        <is>
          <t>BHABAD SANIKA JAGADISH</t>
        </is>
      </c>
      <c r="D15" s="8" t="n">
        <v>22</v>
      </c>
      <c r="E15" s="8" t="n">
        <v>16</v>
      </c>
      <c r="F15" s="8" t="n">
        <v>15</v>
      </c>
      <c r="G15" s="8" t="n">
        <v>15</v>
      </c>
      <c r="H15" s="8" t="n">
        <v>17</v>
      </c>
      <c r="I15" s="8" t="n">
        <v>21</v>
      </c>
      <c r="J15" s="8" t="n">
        <v>17.67</v>
      </c>
    </row>
    <row r="16">
      <c r="A16" s="14" t="inlineStr">
        <is>
          <t>23611780176</t>
        </is>
      </c>
      <c r="B16" s="14" t="inlineStr">
        <is>
          <t>6</t>
        </is>
      </c>
      <c r="C16" s="26" t="inlineStr">
        <is>
          <t>JADHAV RAHUL DEVENDRA</t>
        </is>
      </c>
      <c r="D16" s="8" t="n">
        <v>25</v>
      </c>
      <c r="E16" s="8" t="n">
        <v>21</v>
      </c>
      <c r="F16" s="8" t="n">
        <v>22</v>
      </c>
      <c r="G16" s="8" t="n">
        <v>22</v>
      </c>
      <c r="H16" s="8" t="n">
        <v>25</v>
      </c>
      <c r="I16" s="8" t="n">
        <v>21</v>
      </c>
      <c r="J16" s="8" t="n">
        <v>22.67</v>
      </c>
    </row>
    <row r="17">
      <c r="A17" s="14" t="inlineStr">
        <is>
          <t>23611780177</t>
        </is>
      </c>
      <c r="B17" s="14" t="inlineStr">
        <is>
          <t>7</t>
        </is>
      </c>
      <c r="C17" s="26" t="inlineStr">
        <is>
          <t>SURVE PARTH YOGESH</t>
        </is>
      </c>
      <c r="D17" s="8" t="n">
        <v>16</v>
      </c>
      <c r="E17" s="8" t="n">
        <v>17</v>
      </c>
      <c r="F17" s="8" t="n">
        <v>19</v>
      </c>
      <c r="G17" s="8" t="n">
        <v>20</v>
      </c>
      <c r="H17" s="8" t="n">
        <v>18</v>
      </c>
      <c r="I17" s="8" t="n">
        <v>20</v>
      </c>
      <c r="J17" s="8" t="n">
        <v>18.33</v>
      </c>
    </row>
    <row r="18">
      <c r="A18" s="14" t="inlineStr">
        <is>
          <t>23611780178</t>
        </is>
      </c>
      <c r="B18" s="14" t="inlineStr">
        <is>
          <t>8</t>
        </is>
      </c>
      <c r="C18" s="26" t="inlineStr">
        <is>
          <t>HANDE SALONI PRABHAKAR</t>
        </is>
      </c>
      <c r="D18" s="8" t="n">
        <v>19</v>
      </c>
      <c r="E18" s="8" t="n">
        <v>21</v>
      </c>
      <c r="F18" s="8" t="n">
        <v>23</v>
      </c>
      <c r="G18" s="8" t="n">
        <v>23</v>
      </c>
      <c r="H18" s="8" t="n">
        <v>24</v>
      </c>
      <c r="I18" s="8" t="n">
        <v>25</v>
      </c>
      <c r="J18" s="8" t="n">
        <v>22.5</v>
      </c>
    </row>
    <row r="19">
      <c r="A19" s="14" t="inlineStr">
        <is>
          <t>23611780179</t>
        </is>
      </c>
      <c r="B19" s="14" t="inlineStr">
        <is>
          <t>9</t>
        </is>
      </c>
      <c r="C19" s="26" t="inlineStr">
        <is>
          <t>PINGALKAR VAISHNAVI VIJAY</t>
        </is>
      </c>
      <c r="D19" s="8" t="n">
        <v>21</v>
      </c>
      <c r="E19" s="8" t="n">
        <v>23</v>
      </c>
      <c r="F19" s="8" t="n">
        <v>20</v>
      </c>
      <c r="G19" s="8" t="n">
        <v>20</v>
      </c>
      <c r="H19" s="8" t="n">
        <v>21</v>
      </c>
      <c r="I19" s="8" t="n">
        <v>18</v>
      </c>
      <c r="J19" s="8" t="n">
        <v>20.5</v>
      </c>
    </row>
    <row r="20">
      <c r="A20" s="14" t="inlineStr">
        <is>
          <t>23611780180</t>
        </is>
      </c>
      <c r="B20" s="14" t="inlineStr">
        <is>
          <t>10</t>
        </is>
      </c>
      <c r="C20" s="26" t="inlineStr">
        <is>
          <t>DEORE SURAJ RAJENDRA</t>
        </is>
      </c>
      <c r="D20" s="8" t="n">
        <v>21</v>
      </c>
      <c r="E20" s="8" t="n">
        <v>19</v>
      </c>
      <c r="F20" s="8" t="n">
        <v>22</v>
      </c>
      <c r="G20" s="8" t="n">
        <v>20</v>
      </c>
      <c r="H20" s="8" t="n">
        <v>23</v>
      </c>
      <c r="I20" s="8" t="n">
        <v>25</v>
      </c>
      <c r="J20" s="8" t="n">
        <v>21.67</v>
      </c>
    </row>
    <row r="21">
      <c r="A21" s="14" t="inlineStr">
        <is>
          <t>23611780181</t>
        </is>
      </c>
      <c r="B21" s="14" t="inlineStr">
        <is>
          <t>11</t>
        </is>
      </c>
      <c r="C21" s="26" t="inlineStr">
        <is>
          <t>NETKAR YASH DIGAMBAR</t>
        </is>
      </c>
      <c r="D21" s="8" t="n">
        <v>23</v>
      </c>
      <c r="E21" s="8" t="n">
        <v>25</v>
      </c>
      <c r="F21" s="8" t="n">
        <v>21</v>
      </c>
      <c r="G21" s="8" t="n">
        <v>22</v>
      </c>
      <c r="H21" s="8" t="n">
        <v>24</v>
      </c>
      <c r="I21" s="8" t="n">
        <v>18</v>
      </c>
      <c r="J21" s="8" t="n">
        <v>22.17</v>
      </c>
    </row>
    <row r="22">
      <c r="A22" s="14" t="inlineStr">
        <is>
          <t>23611780182</t>
        </is>
      </c>
      <c r="B22" s="14" t="inlineStr">
        <is>
          <t>12</t>
        </is>
      </c>
      <c r="C22" s="26" t="inlineStr">
        <is>
          <t>MINDE ASHUTOSH SUBHASH</t>
        </is>
      </c>
      <c r="D22" s="8" t="n">
        <v>23</v>
      </c>
      <c r="E22" s="8" t="n">
        <v>21</v>
      </c>
      <c r="F22" s="8" t="n">
        <v>24</v>
      </c>
      <c r="G22" s="8" t="n">
        <v>22</v>
      </c>
      <c r="H22" s="8" t="n">
        <v>25</v>
      </c>
      <c r="I22" s="8" t="n">
        <v>24</v>
      </c>
      <c r="J22" s="8" t="n">
        <v>23.17</v>
      </c>
    </row>
    <row r="23">
      <c r="A23" s="14" t="inlineStr">
        <is>
          <t>23611780183</t>
        </is>
      </c>
      <c r="B23" s="14" t="inlineStr">
        <is>
          <t>13</t>
        </is>
      </c>
      <c r="C23" s="26" t="inlineStr">
        <is>
          <t>CHAUDHARI CHIRAG SANJAY</t>
        </is>
      </c>
      <c r="D23" s="8" t="n">
        <v>14</v>
      </c>
      <c r="E23" s="8" t="n">
        <v>16</v>
      </c>
      <c r="F23" s="8" t="n">
        <v>14</v>
      </c>
      <c r="G23" s="8" t="n">
        <v>15</v>
      </c>
      <c r="H23" s="8" t="n">
        <v>16</v>
      </c>
      <c r="I23" s="8" t="n">
        <v>21</v>
      </c>
      <c r="J23" s="8" t="n">
        <v>16</v>
      </c>
    </row>
    <row r="24">
      <c r="A24" s="14" t="inlineStr">
        <is>
          <t>23611780184</t>
        </is>
      </c>
      <c r="B24" s="14" t="inlineStr">
        <is>
          <t>14</t>
        </is>
      </c>
      <c r="C24" s="26" t="inlineStr">
        <is>
          <t>AHIRRAO SARVESH SUNIL</t>
        </is>
      </c>
      <c r="D24" s="8" t="n">
        <v>23</v>
      </c>
      <c r="E24" s="8" t="n">
        <v>17</v>
      </c>
      <c r="F24" s="8" t="n">
        <v>19</v>
      </c>
      <c r="G24" s="8" t="n">
        <v>17</v>
      </c>
      <c r="H24" s="8" t="n">
        <v>19</v>
      </c>
      <c r="I24" s="8" t="n">
        <v>23</v>
      </c>
      <c r="J24" s="8" t="n">
        <v>19.67</v>
      </c>
    </row>
    <row r="25">
      <c r="A25" s="14" t="inlineStr">
        <is>
          <t>23611780185</t>
        </is>
      </c>
      <c r="B25" s="14" t="inlineStr">
        <is>
          <t>15</t>
        </is>
      </c>
      <c r="C25" s="26" t="inlineStr">
        <is>
          <t>SHEJOLE ANSHU SUNIL</t>
        </is>
      </c>
      <c r="D25" s="8" t="n">
        <v>23</v>
      </c>
      <c r="E25" s="8" t="n">
        <v>20</v>
      </c>
      <c r="F25" s="8" t="n">
        <v>24</v>
      </c>
      <c r="G25" s="8" t="n">
        <v>21</v>
      </c>
      <c r="H25" s="8" t="n">
        <v>22</v>
      </c>
      <c r="I25" s="8" t="n">
        <v>24</v>
      </c>
      <c r="J25" s="8" t="n">
        <v>22.33</v>
      </c>
    </row>
    <row r="26">
      <c r="A26" s="14" t="inlineStr">
        <is>
          <t>23611780186</t>
        </is>
      </c>
      <c r="B26" s="14" t="inlineStr">
        <is>
          <t>16</t>
        </is>
      </c>
      <c r="C26" s="26" t="inlineStr">
        <is>
          <t>SHAIKH FARHEEN HUSSAIN M.</t>
        </is>
      </c>
      <c r="D26" s="8" t="n">
        <v>20</v>
      </c>
      <c r="E26" s="8" t="n">
        <v>25</v>
      </c>
      <c r="F26" s="8" t="n">
        <v>21</v>
      </c>
      <c r="G26" s="8" t="n">
        <v>25</v>
      </c>
      <c r="H26" s="8" t="n">
        <v>24</v>
      </c>
      <c r="I26" s="8" t="n">
        <v>25</v>
      </c>
      <c r="J26" s="8" t="n">
        <v>23.33</v>
      </c>
    </row>
    <row r="27">
      <c r="A27" s="14" t="inlineStr">
        <is>
          <t>23611780187</t>
        </is>
      </c>
      <c r="B27" s="14" t="inlineStr">
        <is>
          <t>17</t>
        </is>
      </c>
      <c r="C27" s="26" t="inlineStr">
        <is>
          <t>PURE SHREYAS SUBHASH</t>
        </is>
      </c>
      <c r="D27" s="8" t="n">
        <v>19</v>
      </c>
      <c r="E27" s="8" t="n">
        <v>19</v>
      </c>
      <c r="F27" s="8" t="n">
        <v>19</v>
      </c>
      <c r="G27" s="8" t="n">
        <v>21</v>
      </c>
      <c r="H27" s="8" t="n">
        <v>22</v>
      </c>
      <c r="I27" s="8" t="n">
        <v>16</v>
      </c>
      <c r="J27" s="8" t="n">
        <v>19.33</v>
      </c>
    </row>
    <row r="28">
      <c r="A28" s="14" t="inlineStr">
        <is>
          <t>23611780188</t>
        </is>
      </c>
      <c r="B28" s="14" t="inlineStr">
        <is>
          <t>18</t>
        </is>
      </c>
      <c r="C28" s="26" t="inlineStr">
        <is>
          <t>GANGURDE HEMANT HARI</t>
        </is>
      </c>
      <c r="D28" s="8" t="n">
        <v>20</v>
      </c>
      <c r="E28" s="8" t="n">
        <v>20</v>
      </c>
      <c r="F28" s="8" t="n">
        <v>19</v>
      </c>
      <c r="G28" s="8" t="n">
        <v>23</v>
      </c>
      <c r="H28" s="8" t="n">
        <v>23</v>
      </c>
      <c r="I28" s="8" t="n">
        <v>19</v>
      </c>
      <c r="J28" s="8" t="n">
        <v>20.67</v>
      </c>
    </row>
    <row r="29">
      <c r="A29" s="14" t="inlineStr">
        <is>
          <t>23611780189</t>
        </is>
      </c>
      <c r="B29" s="14" t="inlineStr">
        <is>
          <t>19</t>
        </is>
      </c>
      <c r="C29" s="26" t="inlineStr">
        <is>
          <t>KOR LOKESH SATISH</t>
        </is>
      </c>
      <c r="D29" s="8" t="n">
        <v>25</v>
      </c>
      <c r="E29" s="8" t="n">
        <v>24</v>
      </c>
      <c r="F29" s="8" t="n">
        <v>21</v>
      </c>
      <c r="G29" s="8" t="n">
        <v>22</v>
      </c>
      <c r="H29" s="8" t="n">
        <v>23</v>
      </c>
      <c r="I29" s="8" t="n">
        <v>22</v>
      </c>
      <c r="J29" s="8" t="n">
        <v>22.83</v>
      </c>
    </row>
    <row r="30">
      <c r="A30" s="14" t="inlineStr">
        <is>
          <t>23611780190</t>
        </is>
      </c>
      <c r="B30" s="14" t="inlineStr">
        <is>
          <t>20</t>
        </is>
      </c>
      <c r="C30" s="26" t="inlineStr">
        <is>
          <t>DEORE VAISHNAVI DILIP</t>
        </is>
      </c>
      <c r="D30" s="8" t="n">
        <v>20</v>
      </c>
      <c r="E30" s="8" t="n">
        <v>19</v>
      </c>
      <c r="F30" s="8" t="n">
        <v>22</v>
      </c>
      <c r="G30" s="8" t="n">
        <v>23</v>
      </c>
      <c r="H30" s="8" t="n">
        <v>21</v>
      </c>
      <c r="I30" s="8" t="n">
        <v>24</v>
      </c>
      <c r="J30" s="8" t="n">
        <v>21.5</v>
      </c>
    </row>
    <row r="31">
      <c r="A31" s="14" t="inlineStr">
        <is>
          <t>23611780191</t>
        </is>
      </c>
      <c r="B31" s="14" t="inlineStr">
        <is>
          <t>21</t>
        </is>
      </c>
      <c r="C31" s="26" t="inlineStr">
        <is>
          <t>MAHAJAN RADHIKA KANTILAL</t>
        </is>
      </c>
      <c r="D31" s="8" t="n">
        <v>19</v>
      </c>
      <c r="E31" s="8" t="n">
        <v>20</v>
      </c>
      <c r="F31" s="8" t="n">
        <v>22</v>
      </c>
      <c r="G31" s="8" t="n">
        <v>20</v>
      </c>
      <c r="H31" s="8" t="n">
        <v>19</v>
      </c>
      <c r="I31" s="8" t="n">
        <v>22</v>
      </c>
      <c r="J31" s="8" t="n">
        <v>20.33</v>
      </c>
    </row>
    <row r="32">
      <c r="A32" s="14" t="inlineStr">
        <is>
          <t>23611780192</t>
        </is>
      </c>
      <c r="B32" s="14" t="inlineStr">
        <is>
          <t>22</t>
        </is>
      </c>
      <c r="C32" s="26" t="inlineStr">
        <is>
          <t>DESHMANE PURVA SANTOSH</t>
        </is>
      </c>
      <c r="D32" s="8" t="n">
        <v>25</v>
      </c>
      <c r="E32" s="8" t="n">
        <v>21</v>
      </c>
      <c r="F32" s="8" t="n">
        <v>25</v>
      </c>
      <c r="G32" s="8" t="n">
        <v>23</v>
      </c>
      <c r="H32" s="8" t="n">
        <v>21</v>
      </c>
      <c r="I32" s="8" t="n">
        <v>23</v>
      </c>
      <c r="J32" s="8" t="n">
        <v>23</v>
      </c>
    </row>
    <row r="33">
      <c r="A33" s="14" t="inlineStr">
        <is>
          <t>23611780193</t>
        </is>
      </c>
      <c r="B33" s="14" t="inlineStr">
        <is>
          <t>23</t>
        </is>
      </c>
      <c r="C33" s="26" t="inlineStr">
        <is>
          <t>CHITTE GRISHMA RAVINDRA</t>
        </is>
      </c>
      <c r="D33" s="8" t="n">
        <v>20</v>
      </c>
      <c r="E33" s="8" t="n">
        <v>25</v>
      </c>
      <c r="F33" s="8" t="n">
        <v>21</v>
      </c>
      <c r="G33" s="8" t="n">
        <v>25</v>
      </c>
      <c r="H33" s="8" t="n">
        <v>24</v>
      </c>
      <c r="I33" s="8" t="n">
        <v>23</v>
      </c>
      <c r="J33" s="8" t="n">
        <v>23</v>
      </c>
    </row>
    <row r="34">
      <c r="A34" s="14" t="inlineStr">
        <is>
          <t>23611780194</t>
        </is>
      </c>
      <c r="B34" s="14" t="inlineStr">
        <is>
          <t>24</t>
        </is>
      </c>
      <c r="C34" s="26" t="inlineStr">
        <is>
          <t>JADHAV SHUBHAM T.</t>
        </is>
      </c>
      <c r="D34" s="8" t="n">
        <v>13</v>
      </c>
      <c r="E34" s="8" t="n">
        <v>8</v>
      </c>
      <c r="F34" s="8" t="n">
        <v>9</v>
      </c>
      <c r="G34" s="8" t="n">
        <v>8</v>
      </c>
      <c r="H34" s="8" t="n">
        <v>12</v>
      </c>
      <c r="I34" s="8" t="n">
        <v>21</v>
      </c>
      <c r="J34" s="8" t="n">
        <v>11.83</v>
      </c>
    </row>
    <row r="35">
      <c r="A35" s="14" t="inlineStr">
        <is>
          <t>23611780195</t>
        </is>
      </c>
      <c r="B35" s="14" t="inlineStr">
        <is>
          <t>25</t>
        </is>
      </c>
      <c r="C35" s="26" t="inlineStr">
        <is>
          <t>PAWAR KARANSING J.</t>
        </is>
      </c>
      <c r="D35" s="8" t="n">
        <v>24</v>
      </c>
      <c r="E35" s="8" t="n">
        <v>22</v>
      </c>
      <c r="F35" s="8" t="n">
        <v>19</v>
      </c>
      <c r="G35" s="8" t="n">
        <v>20</v>
      </c>
      <c r="H35" s="8" t="n">
        <v>20</v>
      </c>
      <c r="I35" s="8" t="n">
        <v>19</v>
      </c>
      <c r="J35" s="8" t="n">
        <v>20.67</v>
      </c>
    </row>
    <row r="36">
      <c r="A36" s="14" t="inlineStr">
        <is>
          <t>23611780196</t>
        </is>
      </c>
      <c r="B36" s="14" t="inlineStr">
        <is>
          <t>26</t>
        </is>
      </c>
      <c r="C36" s="26" t="inlineStr">
        <is>
          <t>GADHARI KIRTI DATTU</t>
        </is>
      </c>
      <c r="D36" s="8" t="n">
        <v>19</v>
      </c>
      <c r="E36" s="8" t="n">
        <v>19</v>
      </c>
      <c r="F36" s="8" t="n">
        <v>21</v>
      </c>
      <c r="G36" s="8" t="n">
        <v>19</v>
      </c>
      <c r="H36" s="8" t="n">
        <v>17</v>
      </c>
      <c r="I36" s="8" t="n">
        <v>22</v>
      </c>
      <c r="J36" s="8" t="n">
        <v>19.5</v>
      </c>
    </row>
    <row r="37">
      <c r="A37" s="14" t="inlineStr">
        <is>
          <t>23611780197</t>
        </is>
      </c>
      <c r="B37" s="14" t="inlineStr">
        <is>
          <t>27</t>
        </is>
      </c>
      <c r="C37" s="26" t="inlineStr">
        <is>
          <t>MORE ADITYA SANJAY</t>
        </is>
      </c>
      <c r="D37" s="8" t="n">
        <v>24</v>
      </c>
      <c r="E37" s="8" t="n">
        <v>21</v>
      </c>
      <c r="F37" s="8" t="n">
        <v>23</v>
      </c>
      <c r="G37" s="8" t="n">
        <v>22</v>
      </c>
      <c r="H37" s="8" t="n">
        <v>20</v>
      </c>
      <c r="I37" s="8" t="n">
        <v>25</v>
      </c>
      <c r="J37" s="8" t="n">
        <v>22.5</v>
      </c>
    </row>
    <row r="38">
      <c r="A38" s="14" t="inlineStr">
        <is>
          <t>23611780198</t>
        </is>
      </c>
      <c r="B38" s="14" t="inlineStr">
        <is>
          <t>28</t>
        </is>
      </c>
      <c r="C38" s="26" t="inlineStr">
        <is>
          <t>DHIVARE BHAVESH GAUTAM</t>
        </is>
      </c>
      <c r="D38" s="8" t="n">
        <v>25</v>
      </c>
      <c r="E38" s="8" t="n">
        <v>17</v>
      </c>
      <c r="F38" s="8" t="n">
        <v>16</v>
      </c>
      <c r="G38" s="8" t="n">
        <v>16</v>
      </c>
      <c r="H38" s="8" t="n">
        <v>16</v>
      </c>
      <c r="I38" s="8" t="n">
        <v>19</v>
      </c>
      <c r="J38" s="8" t="n">
        <v>18.17</v>
      </c>
    </row>
    <row r="39">
      <c r="A39" s="14" t="inlineStr">
        <is>
          <t>23611780199</t>
        </is>
      </c>
      <c r="B39" s="14" t="inlineStr">
        <is>
          <t>29</t>
        </is>
      </c>
      <c r="C39" s="26" t="inlineStr">
        <is>
          <t>SAMUDRE PRATIK RAJENDRA</t>
        </is>
      </c>
      <c r="D39" s="8" t="n">
        <v>16</v>
      </c>
      <c r="E39" s="8" t="n">
        <v>15</v>
      </c>
      <c r="F39" s="8" t="n">
        <v>18</v>
      </c>
      <c r="G39" s="8" t="n">
        <v>14</v>
      </c>
      <c r="H39" s="8" t="n">
        <v>17</v>
      </c>
      <c r="I39" s="8" t="n">
        <v>21</v>
      </c>
      <c r="J39" s="8" t="n">
        <v>16.83</v>
      </c>
    </row>
    <row r="40">
      <c r="A40" s="14" t="inlineStr">
        <is>
          <t>23611780200</t>
        </is>
      </c>
      <c r="B40" s="14" t="inlineStr">
        <is>
          <t>30</t>
        </is>
      </c>
      <c r="C40" s="26" t="inlineStr">
        <is>
          <t>AHIRRAO MANASWI ANIL</t>
        </is>
      </c>
      <c r="D40" s="8" t="n">
        <v>20</v>
      </c>
      <c r="E40" s="8" t="n">
        <v>20</v>
      </c>
      <c r="F40" s="8" t="n">
        <v>18</v>
      </c>
      <c r="G40" s="8" t="n">
        <v>16</v>
      </c>
      <c r="H40" s="8" t="n">
        <v>16</v>
      </c>
      <c r="I40" s="8" t="n">
        <v>21</v>
      </c>
      <c r="J40" s="8" t="n">
        <v>18.5</v>
      </c>
    </row>
    <row r="41">
      <c r="A41" s="14" t="inlineStr">
        <is>
          <t>23611780201</t>
        </is>
      </c>
      <c r="B41" s="14" t="inlineStr">
        <is>
          <t>31</t>
        </is>
      </c>
      <c r="C41" s="26" t="inlineStr">
        <is>
          <t>MORE SWAPNIL SATISH</t>
        </is>
      </c>
      <c r="D41" s="8" t="n">
        <v>10</v>
      </c>
      <c r="E41" s="8" t="n">
        <v>14</v>
      </c>
      <c r="F41" s="8" t="n">
        <v>12</v>
      </c>
      <c r="G41" s="8" t="n">
        <v>13</v>
      </c>
      <c r="H41" s="8" t="n">
        <v>11</v>
      </c>
      <c r="I41" s="8" t="n">
        <v>9</v>
      </c>
      <c r="J41" s="8" t="n">
        <v>11.5</v>
      </c>
    </row>
    <row r="42">
      <c r="A42" s="14" t="inlineStr">
        <is>
          <t>23611780202</t>
        </is>
      </c>
      <c r="B42" s="14" t="inlineStr">
        <is>
          <t>32</t>
        </is>
      </c>
      <c r="C42" s="26" t="inlineStr">
        <is>
          <t>RAUTMALE CHETAN SURESH</t>
        </is>
      </c>
      <c r="D42" s="8" t="n">
        <v>21</v>
      </c>
      <c r="E42" s="8" t="n">
        <v>19</v>
      </c>
      <c r="F42" s="8" t="n">
        <v>21</v>
      </c>
      <c r="G42" s="8" t="n">
        <v>21</v>
      </c>
      <c r="H42" s="8" t="n">
        <v>23</v>
      </c>
      <c r="I42" s="8" t="n">
        <v>23</v>
      </c>
      <c r="J42" s="8" t="n">
        <v>21.33</v>
      </c>
    </row>
    <row r="43">
      <c r="A43" s="14" t="inlineStr">
        <is>
          <t>23611780203</t>
        </is>
      </c>
      <c r="B43" s="14" t="inlineStr">
        <is>
          <t>33</t>
        </is>
      </c>
      <c r="C43" s="26" t="inlineStr">
        <is>
          <t>SALVE SOHAM GAJANAN</t>
        </is>
      </c>
      <c r="D43" s="8" t="n">
        <v>14</v>
      </c>
      <c r="E43" s="8" t="n">
        <v>19</v>
      </c>
      <c r="F43" s="8" t="n">
        <v>15</v>
      </c>
      <c r="G43" s="8" t="n">
        <v>18</v>
      </c>
      <c r="H43" s="8" t="n">
        <v>19</v>
      </c>
      <c r="I43" s="8" t="n">
        <v>18</v>
      </c>
      <c r="J43" s="8" t="n">
        <v>17.17</v>
      </c>
    </row>
    <row r="44">
      <c r="A44" s="14" t="inlineStr">
        <is>
          <t>23611780204</t>
        </is>
      </c>
      <c r="B44" s="14" t="inlineStr">
        <is>
          <t>34</t>
        </is>
      </c>
      <c r="C44" s="26" t="inlineStr">
        <is>
          <t>GHODSARE ROSHAN ARUN</t>
        </is>
      </c>
      <c r="D44" s="8" t="n">
        <v>25</v>
      </c>
      <c r="E44" s="8" t="n">
        <v>22</v>
      </c>
      <c r="F44" s="8" t="n">
        <v>23</v>
      </c>
      <c r="G44" s="8" t="n">
        <v>23</v>
      </c>
      <c r="H44" s="8" t="n">
        <v>22</v>
      </c>
      <c r="I44" s="8" t="n">
        <v>19</v>
      </c>
      <c r="J44" s="8" t="n">
        <v>22.33</v>
      </c>
    </row>
    <row r="45">
      <c r="A45" s="14" t="inlineStr">
        <is>
          <t>23611780205</t>
        </is>
      </c>
      <c r="B45" s="14" t="inlineStr">
        <is>
          <t>35</t>
        </is>
      </c>
      <c r="C45" s="26" t="inlineStr">
        <is>
          <t>AHIRE CHARUDATTA SUBHASH</t>
        </is>
      </c>
      <c r="D45" s="8" t="n">
        <v>22</v>
      </c>
      <c r="E45" s="8" t="n">
        <v>23</v>
      </c>
      <c r="F45" s="8" t="n">
        <v>23</v>
      </c>
      <c r="G45" s="8" t="n">
        <v>22</v>
      </c>
      <c r="H45" s="8" t="n">
        <v>25</v>
      </c>
      <c r="I45" s="8" t="n">
        <v>21</v>
      </c>
      <c r="J45" s="8" t="n">
        <v>22.67</v>
      </c>
    </row>
    <row r="46">
      <c r="A46" s="14" t="inlineStr">
        <is>
          <t>23611780206</t>
        </is>
      </c>
      <c r="B46" s="14" t="inlineStr">
        <is>
          <t>36</t>
        </is>
      </c>
      <c r="C46" s="26" t="inlineStr">
        <is>
          <t>BANKAR VISHAKHA RANJEET</t>
        </is>
      </c>
      <c r="D46" s="8" t="n">
        <v>20</v>
      </c>
      <c r="E46" s="8" t="n">
        <v>23</v>
      </c>
      <c r="F46" s="8" t="n">
        <v>20</v>
      </c>
      <c r="G46" s="8" t="n">
        <v>23</v>
      </c>
      <c r="H46" s="8" t="n">
        <v>19</v>
      </c>
      <c r="I46" s="8" t="n">
        <v>23</v>
      </c>
      <c r="J46" s="8" t="n">
        <v>21.33</v>
      </c>
    </row>
    <row r="47">
      <c r="A47" s="14" t="inlineStr">
        <is>
          <t>23611780207</t>
        </is>
      </c>
      <c r="B47" s="14" t="inlineStr">
        <is>
          <t>37</t>
        </is>
      </c>
      <c r="C47" s="26" t="inlineStr">
        <is>
          <t>PAWAR POOJA RESHMABAI</t>
        </is>
      </c>
      <c r="D47" s="8" t="n">
        <v>24</v>
      </c>
      <c r="E47" s="8" t="n">
        <v>19</v>
      </c>
      <c r="F47" s="8" t="n">
        <v>20</v>
      </c>
      <c r="G47" s="8" t="n">
        <v>21</v>
      </c>
      <c r="H47" s="8" t="n">
        <v>21</v>
      </c>
      <c r="I47" s="8" t="n">
        <v>9</v>
      </c>
      <c r="J47" s="8" t="n">
        <v>19</v>
      </c>
    </row>
    <row r="48">
      <c r="A48" s="14" t="inlineStr">
        <is>
          <t>23611780208</t>
        </is>
      </c>
      <c r="B48" s="14" t="inlineStr">
        <is>
          <t>38</t>
        </is>
      </c>
      <c r="C48" s="26" t="inlineStr">
        <is>
          <t>SAINDANE SEJAL PANKAJ</t>
        </is>
      </c>
      <c r="D48" s="8" t="n">
        <v>16</v>
      </c>
      <c r="E48" s="8" t="n">
        <v>23</v>
      </c>
      <c r="F48" s="8" t="n">
        <v>22</v>
      </c>
      <c r="G48" s="8" t="n">
        <v>23</v>
      </c>
      <c r="H48" s="8" t="n">
        <v>21</v>
      </c>
      <c r="I48" s="8" t="n">
        <v>19</v>
      </c>
      <c r="J48" s="8" t="n">
        <v>20.67</v>
      </c>
    </row>
    <row r="49">
      <c r="A49" s="14" t="inlineStr">
        <is>
          <t>23611780209</t>
        </is>
      </c>
      <c r="B49" s="14" t="inlineStr">
        <is>
          <t>39</t>
        </is>
      </c>
      <c r="C49" s="26" t="inlineStr">
        <is>
          <t>KARTULE ABHAY KALU</t>
        </is>
      </c>
      <c r="D49" s="8" t="n">
        <v>1</v>
      </c>
      <c r="E49" s="8" t="n">
        <v>8</v>
      </c>
      <c r="F49" s="8" t="n">
        <v>8</v>
      </c>
      <c r="G49" s="8" t="n">
        <v>9</v>
      </c>
      <c r="H49" s="8" t="n">
        <v>9</v>
      </c>
      <c r="I49" s="8" t="n">
        <v>19</v>
      </c>
      <c r="J49" s="8" t="n">
        <v>9</v>
      </c>
    </row>
    <row r="50">
      <c r="A50" s="14" t="inlineStr">
        <is>
          <t>23611780210</t>
        </is>
      </c>
      <c r="B50" s="14" t="inlineStr">
        <is>
          <t>40</t>
        </is>
      </c>
      <c r="C50" s="26" t="inlineStr">
        <is>
          <t>SAPKAL SOMESH MANOHAR</t>
        </is>
      </c>
      <c r="D50" s="8" t="n">
        <v>23</v>
      </c>
      <c r="E50" s="8" t="n">
        <v>20</v>
      </c>
      <c r="F50" s="8" t="n">
        <v>20</v>
      </c>
      <c r="G50" s="8" t="n">
        <v>19</v>
      </c>
      <c r="H50" s="8" t="n">
        <v>23</v>
      </c>
      <c r="I50" s="8" t="n">
        <v>21</v>
      </c>
      <c r="J50" s="8" t="n">
        <v>21</v>
      </c>
    </row>
    <row r="51">
      <c r="A51" s="14" t="inlineStr">
        <is>
          <t>23611780211</t>
        </is>
      </c>
      <c r="B51" s="14" t="inlineStr">
        <is>
          <t>41</t>
        </is>
      </c>
      <c r="C51" s="26" t="inlineStr">
        <is>
          <t>MANDWADE CHAITANYA VIJAY</t>
        </is>
      </c>
      <c r="D51" s="8" t="n">
        <v>24</v>
      </c>
      <c r="E51" s="8" t="n">
        <v>17</v>
      </c>
      <c r="F51" s="8" t="n">
        <v>17</v>
      </c>
      <c r="G51" s="8" t="n">
        <v>19</v>
      </c>
      <c r="H51" s="8" t="n">
        <v>18</v>
      </c>
      <c r="I51" s="8" t="n">
        <v>20</v>
      </c>
      <c r="J51" s="8" t="n">
        <v>19.17</v>
      </c>
    </row>
    <row r="52">
      <c r="A52" s="14" t="inlineStr">
        <is>
          <t>23611780212</t>
        </is>
      </c>
      <c r="B52" s="14" t="inlineStr">
        <is>
          <t>42</t>
        </is>
      </c>
      <c r="C52" s="26" t="inlineStr">
        <is>
          <t>SURYAWANSHI PRATIK M.</t>
        </is>
      </c>
      <c r="D52" s="8" t="n">
        <v>20</v>
      </c>
      <c r="E52" s="8" t="n">
        <v>22</v>
      </c>
      <c r="F52" s="8" t="n">
        <v>23</v>
      </c>
      <c r="G52" s="8" t="n">
        <v>21</v>
      </c>
      <c r="H52" s="8" t="n">
        <v>19</v>
      </c>
      <c r="I52" s="8" t="n">
        <v>12</v>
      </c>
      <c r="J52" s="8" t="n">
        <v>19.5</v>
      </c>
    </row>
    <row r="53">
      <c r="A53" s="14" t="inlineStr">
        <is>
          <t>23611780213</t>
        </is>
      </c>
      <c r="B53" s="14" t="inlineStr">
        <is>
          <t>43</t>
        </is>
      </c>
      <c r="C53" s="26" t="inlineStr">
        <is>
          <t>GUJARE AMBIKA SHANTARAM</t>
        </is>
      </c>
      <c r="D53" s="8" t="n">
        <v>12</v>
      </c>
      <c r="E53" s="8" t="n">
        <v>20</v>
      </c>
      <c r="F53" s="8" t="n">
        <v>18</v>
      </c>
      <c r="G53" s="8" t="n">
        <v>20</v>
      </c>
      <c r="H53" s="8" t="n">
        <v>20</v>
      </c>
      <c r="I53" s="8" t="n">
        <v>19</v>
      </c>
      <c r="J53" s="8" t="n">
        <v>18.17</v>
      </c>
    </row>
    <row r="54">
      <c r="A54" s="14" t="inlineStr">
        <is>
          <t>23611780214</t>
        </is>
      </c>
      <c r="B54" s="14" t="inlineStr">
        <is>
          <t>44</t>
        </is>
      </c>
      <c r="C54" s="26" t="inlineStr">
        <is>
          <t>KARPE PAYAL PRAVIN</t>
        </is>
      </c>
      <c r="D54" s="8" t="n">
        <v>17</v>
      </c>
      <c r="E54" s="8" t="n">
        <v>10</v>
      </c>
      <c r="F54" s="8" t="n">
        <v>11</v>
      </c>
      <c r="G54" s="8" t="n">
        <v>12</v>
      </c>
      <c r="H54" s="8" t="n">
        <v>10</v>
      </c>
      <c r="I54" s="8" t="n">
        <v>11</v>
      </c>
      <c r="J54" s="8" t="n">
        <v>11.83</v>
      </c>
    </row>
    <row r="55">
      <c r="A55" s="14" t="inlineStr">
        <is>
          <t>23611780215</t>
        </is>
      </c>
      <c r="B55" s="14" t="inlineStr">
        <is>
          <t>45</t>
        </is>
      </c>
      <c r="C55" s="26" t="inlineStr">
        <is>
          <t>AHER ANIKET LAXMAN</t>
        </is>
      </c>
      <c r="D55" s="8" t="n">
        <v>16</v>
      </c>
      <c r="E55" s="8" t="n">
        <v>19</v>
      </c>
      <c r="F55" s="8" t="n">
        <v>17</v>
      </c>
      <c r="G55" s="8" t="n">
        <v>19</v>
      </c>
      <c r="H55" s="8" t="n">
        <v>19</v>
      </c>
      <c r="I55" s="8" t="n">
        <v>22</v>
      </c>
      <c r="J55" s="8" t="n">
        <v>18.67</v>
      </c>
    </row>
    <row r="56">
      <c r="A56" s="14" t="inlineStr">
        <is>
          <t>23611780216</t>
        </is>
      </c>
      <c r="B56" s="14" t="inlineStr">
        <is>
          <t>46</t>
        </is>
      </c>
      <c r="C56" s="26" t="inlineStr">
        <is>
          <t>PATIL ATHARVA RAJENDRA</t>
        </is>
      </c>
      <c r="D56" s="8" t="n">
        <v>11</v>
      </c>
      <c r="E56" s="8" t="n">
        <v>14</v>
      </c>
      <c r="F56" s="8" t="n">
        <v>15</v>
      </c>
      <c r="G56" s="8" t="n">
        <v>11</v>
      </c>
      <c r="H56" s="8" t="n">
        <v>14</v>
      </c>
      <c r="I56" s="8" t="n">
        <v>20</v>
      </c>
      <c r="J56" s="8" t="n">
        <v>14.17</v>
      </c>
    </row>
    <row r="57">
      <c r="A57" s="14" t="inlineStr">
        <is>
          <t>23611780217</t>
        </is>
      </c>
      <c r="B57" s="14" t="inlineStr">
        <is>
          <t>47</t>
        </is>
      </c>
      <c r="C57" s="26" t="inlineStr">
        <is>
          <t>RAUNDAL VRUSHABH UMESH</t>
        </is>
      </c>
      <c r="D57" s="8" t="n">
        <v>7</v>
      </c>
      <c r="E57" s="8" t="n">
        <v>12</v>
      </c>
      <c r="F57" s="8" t="n">
        <v>10</v>
      </c>
      <c r="G57" s="8" t="n">
        <v>11</v>
      </c>
      <c r="H57" s="8" t="n">
        <v>10</v>
      </c>
      <c r="I57" s="8" t="n">
        <v>10</v>
      </c>
      <c r="J57" s="8" t="n">
        <v>10</v>
      </c>
    </row>
    <row r="58">
      <c r="A58" s="14" t="inlineStr">
        <is>
          <t>23611780218</t>
        </is>
      </c>
      <c r="B58" s="14" t="inlineStr">
        <is>
          <t>48</t>
        </is>
      </c>
      <c r="C58" s="26" t="inlineStr">
        <is>
          <t>PATIL GAYATRI NAMDEO</t>
        </is>
      </c>
      <c r="D58" s="8" t="n">
        <v>4</v>
      </c>
      <c r="E58" s="8" t="n">
        <v>0</v>
      </c>
      <c r="F58" s="8" t="n">
        <v>3</v>
      </c>
      <c r="G58" s="8" t="n">
        <v>0</v>
      </c>
      <c r="H58" s="8" t="n">
        <v>3</v>
      </c>
      <c r="I58" s="8" t="n">
        <v>19</v>
      </c>
      <c r="J58" s="8" t="n">
        <v>4.83</v>
      </c>
    </row>
    <row r="59">
      <c r="A59" s="14" t="inlineStr">
        <is>
          <t>23611780219</t>
        </is>
      </c>
      <c r="B59" s="14" t="inlineStr">
        <is>
          <t>49</t>
        </is>
      </c>
      <c r="C59" s="26" t="inlineStr">
        <is>
          <t>SHELAR SWARUP SADASHIV</t>
        </is>
      </c>
      <c r="D59" s="8" t="n">
        <v>17</v>
      </c>
      <c r="E59" s="8" t="n">
        <v>21</v>
      </c>
      <c r="F59" s="8" t="n">
        <v>19</v>
      </c>
      <c r="G59" s="8" t="n">
        <v>22</v>
      </c>
      <c r="H59" s="8" t="n">
        <v>21</v>
      </c>
      <c r="I59" s="8" t="n">
        <v>14</v>
      </c>
      <c r="J59" s="8" t="n">
        <v>19</v>
      </c>
    </row>
    <row r="60">
      <c r="A60" s="14" t="inlineStr">
        <is>
          <t>23611780220</t>
        </is>
      </c>
      <c r="B60" s="14" t="inlineStr">
        <is>
          <t>50</t>
        </is>
      </c>
      <c r="C60" s="26" t="inlineStr">
        <is>
          <t>BHAGWAT SANCHIT VIJAY</t>
        </is>
      </c>
      <c r="D60" s="8" t="n">
        <v>17</v>
      </c>
      <c r="E60" s="8" t="n">
        <v>17</v>
      </c>
      <c r="F60" s="8" t="n">
        <v>21</v>
      </c>
      <c r="G60" s="8" t="n">
        <v>19</v>
      </c>
      <c r="H60" s="8" t="n">
        <v>21</v>
      </c>
      <c r="I60" s="8" t="n">
        <v>12</v>
      </c>
      <c r="J60" s="8" t="n">
        <v>17.83</v>
      </c>
    </row>
    <row r="61">
      <c r="A61" s="14" t="inlineStr">
        <is>
          <t>23611780221</t>
        </is>
      </c>
      <c r="B61" s="14" t="inlineStr">
        <is>
          <t>51</t>
        </is>
      </c>
      <c r="C61" s="26" t="inlineStr">
        <is>
          <t>MALI ARYAN MANOJ</t>
        </is>
      </c>
      <c r="D61" s="8" t="n">
        <v>18</v>
      </c>
      <c r="E61" s="8" t="n">
        <v>16</v>
      </c>
      <c r="F61" s="8" t="n">
        <v>19</v>
      </c>
      <c r="G61" s="8" t="n">
        <v>17</v>
      </c>
      <c r="H61" s="8" t="n">
        <v>20</v>
      </c>
      <c r="I61" s="8" t="n">
        <v>0</v>
      </c>
      <c r="J61" s="8" t="n">
        <v>15</v>
      </c>
    </row>
    <row r="62">
      <c r="A62" s="14" t="inlineStr">
        <is>
          <t>23611780222</t>
        </is>
      </c>
      <c r="B62" s="14" t="inlineStr">
        <is>
          <t>52</t>
        </is>
      </c>
      <c r="C62" s="26" t="inlineStr">
        <is>
          <t>PATIL SAKSHI PRAMOD</t>
        </is>
      </c>
      <c r="D62" s="8" t="n">
        <v>25</v>
      </c>
      <c r="E62" s="8" t="n">
        <v>22</v>
      </c>
      <c r="F62" s="8" t="n">
        <v>22</v>
      </c>
      <c r="G62" s="8" t="n">
        <v>21</v>
      </c>
      <c r="H62" s="8" t="n">
        <v>25</v>
      </c>
      <c r="I62" s="8" t="n">
        <v>21</v>
      </c>
      <c r="J62" s="8" t="n">
        <v>22.67</v>
      </c>
    </row>
    <row r="63">
      <c r="A63" s="14" t="inlineStr">
        <is>
          <t>23611780223</t>
        </is>
      </c>
      <c r="B63" s="14" t="inlineStr">
        <is>
          <t>53</t>
        </is>
      </c>
      <c r="C63" s="26" t="inlineStr">
        <is>
          <t>WAGH ARYAN DINESH</t>
        </is>
      </c>
      <c r="D63" s="8" t="n">
        <v>17</v>
      </c>
      <c r="E63" s="8" t="n">
        <v>19</v>
      </c>
      <c r="F63" s="8" t="n">
        <v>20</v>
      </c>
      <c r="G63" s="8" t="n">
        <v>16</v>
      </c>
      <c r="H63" s="8" t="n">
        <v>18</v>
      </c>
      <c r="I63" s="8" t="n">
        <v>17</v>
      </c>
      <c r="J63" s="8" t="n">
        <v>17.83</v>
      </c>
    </row>
    <row r="64">
      <c r="A64" s="14" t="inlineStr">
        <is>
          <t>23611780224</t>
        </is>
      </c>
      <c r="B64" s="14" t="inlineStr">
        <is>
          <t>54</t>
        </is>
      </c>
      <c r="C64" s="26" t="inlineStr">
        <is>
          <t>MISHRA PUSHKAR</t>
        </is>
      </c>
      <c r="D64" s="8" t="n">
        <v>15</v>
      </c>
      <c r="E64" s="8" t="n">
        <v>15</v>
      </c>
      <c r="F64" s="8" t="n">
        <v>16</v>
      </c>
      <c r="G64" s="8" t="n">
        <v>12</v>
      </c>
      <c r="H64" s="8" t="n">
        <v>12</v>
      </c>
      <c r="I64" s="8" t="n">
        <v>16</v>
      </c>
      <c r="J64" s="8" t="n">
        <v>14.33</v>
      </c>
    </row>
    <row r="65">
      <c r="A65" s="14" t="inlineStr">
        <is>
          <t>23611780225</t>
        </is>
      </c>
      <c r="B65" s="14" t="inlineStr">
        <is>
          <t>55</t>
        </is>
      </c>
      <c r="C65" s="26" t="inlineStr">
        <is>
          <t>BIDVE MOHIT SUBODH</t>
        </is>
      </c>
      <c r="D65" s="8" t="n">
        <v>12</v>
      </c>
      <c r="E65" s="8" t="n">
        <v>5</v>
      </c>
      <c r="F65" s="8" t="n">
        <v>4</v>
      </c>
      <c r="G65" s="8" t="n">
        <v>4</v>
      </c>
      <c r="H65" s="8" t="n">
        <v>5</v>
      </c>
      <c r="I65" s="8" t="n">
        <v>22</v>
      </c>
      <c r="J65" s="8" t="n">
        <v>8.67</v>
      </c>
    </row>
    <row r="66">
      <c r="A66" s="14" t="inlineStr">
        <is>
          <t>23611780227</t>
        </is>
      </c>
      <c r="B66" s="14" t="inlineStr">
        <is>
          <t>56</t>
        </is>
      </c>
      <c r="C66" s="26" t="inlineStr">
        <is>
          <t>PANDIT JAYTESH J.</t>
        </is>
      </c>
      <c r="D66" s="8" t="n">
        <v>12</v>
      </c>
      <c r="E66" s="8" t="n">
        <v>6</v>
      </c>
      <c r="F66" s="8" t="n">
        <v>9</v>
      </c>
      <c r="G66" s="8" t="n">
        <v>7</v>
      </c>
      <c r="H66" s="8" t="n">
        <v>6</v>
      </c>
      <c r="I66" s="8" t="n">
        <v>25</v>
      </c>
      <c r="J66" s="8" t="n">
        <v>10.83</v>
      </c>
    </row>
    <row r="67">
      <c r="A67" s="14" t="inlineStr">
        <is>
          <t>23611780228</t>
        </is>
      </c>
      <c r="B67" s="14" t="inlineStr">
        <is>
          <t>57</t>
        </is>
      </c>
      <c r="C67" s="26" t="inlineStr">
        <is>
          <t>PATEL MAHI URVISH</t>
        </is>
      </c>
      <c r="D67" s="8" t="n">
        <v>22</v>
      </c>
      <c r="E67" s="8" t="n">
        <v>19</v>
      </c>
      <c r="F67" s="8" t="n">
        <v>21</v>
      </c>
      <c r="G67" s="8" t="n">
        <v>22</v>
      </c>
      <c r="H67" s="8" t="n">
        <v>21</v>
      </c>
      <c r="I67" s="8" t="n">
        <v>21</v>
      </c>
      <c r="J67" s="8" t="n">
        <v>21</v>
      </c>
    </row>
    <row r="68">
      <c r="A68" s="14" t="inlineStr">
        <is>
          <t>23611780230</t>
        </is>
      </c>
      <c r="B68" s="14" t="inlineStr">
        <is>
          <t>58</t>
        </is>
      </c>
      <c r="C68" s="26" t="inlineStr">
        <is>
          <t>PATIL VRUSHALI VINOD</t>
        </is>
      </c>
      <c r="D68" s="8" t="n">
        <v>20</v>
      </c>
      <c r="E68" s="8" t="n">
        <v>15</v>
      </c>
      <c r="F68" s="8" t="n">
        <v>13</v>
      </c>
      <c r="G68" s="8" t="n">
        <v>13</v>
      </c>
      <c r="H68" s="8" t="n">
        <v>14</v>
      </c>
      <c r="I68" s="8" t="n">
        <v>16</v>
      </c>
      <c r="J68" s="8" t="n">
        <v>15.17</v>
      </c>
    </row>
    <row r="69">
      <c r="A69" s="14" t="inlineStr">
        <is>
          <t>23611780231</t>
        </is>
      </c>
      <c r="B69" s="14" t="inlineStr">
        <is>
          <t>59</t>
        </is>
      </c>
      <c r="C69" s="26" t="inlineStr">
        <is>
          <t>SONAWANE SOHAM SOPAN</t>
        </is>
      </c>
      <c r="D69" s="8" t="n">
        <v>21</v>
      </c>
      <c r="E69" s="8" t="n">
        <v>19</v>
      </c>
      <c r="F69" s="8" t="n">
        <v>20</v>
      </c>
      <c r="G69" s="8" t="n">
        <v>22</v>
      </c>
      <c r="H69" s="8" t="n">
        <v>23</v>
      </c>
      <c r="I69" s="8" t="n">
        <v>17</v>
      </c>
      <c r="J69" s="8" t="n">
        <v>20.33</v>
      </c>
    </row>
    <row r="70">
      <c r="A70" s="14" t="inlineStr">
        <is>
          <t>23611780232</t>
        </is>
      </c>
      <c r="B70" s="14" t="inlineStr">
        <is>
          <t>60</t>
        </is>
      </c>
      <c r="C70" s="26" t="inlineStr">
        <is>
          <t>DESALE GAURI RAOSAHEB</t>
        </is>
      </c>
      <c r="D70" s="8" t="n">
        <v>21</v>
      </c>
      <c r="E70" s="8" t="n">
        <v>23</v>
      </c>
      <c r="F70" s="8" t="n">
        <v>22</v>
      </c>
      <c r="G70" s="8" t="n">
        <v>20</v>
      </c>
      <c r="H70" s="8" t="n">
        <v>19</v>
      </c>
      <c r="I70" s="8" t="n">
        <v>20</v>
      </c>
      <c r="J70" s="8" t="n">
        <v>20.83</v>
      </c>
    </row>
    <row r="71">
      <c r="A71" s="14" t="inlineStr">
        <is>
          <t>23611780233</t>
        </is>
      </c>
      <c r="B71" s="14" t="inlineStr">
        <is>
          <t>61</t>
        </is>
      </c>
      <c r="C71" s="26" t="inlineStr">
        <is>
          <t>BARHATE PRANJAL MADHAV</t>
        </is>
      </c>
      <c r="D71" s="8" t="n">
        <v>16</v>
      </c>
      <c r="E71" s="8" t="n">
        <v>14</v>
      </c>
      <c r="F71" s="8" t="n">
        <v>15</v>
      </c>
      <c r="G71" s="8" t="n">
        <v>12</v>
      </c>
      <c r="H71" s="8" t="n">
        <v>13</v>
      </c>
      <c r="I71" s="8" t="n">
        <v>25</v>
      </c>
      <c r="J71" s="8" t="n">
        <v>15.83</v>
      </c>
    </row>
    <row r="72">
      <c r="A72" s="14" t="inlineStr">
        <is>
          <t>23611780234</t>
        </is>
      </c>
      <c r="B72" s="14" t="inlineStr">
        <is>
          <t>62</t>
        </is>
      </c>
      <c r="C72" s="26" t="inlineStr">
        <is>
          <t>KANADE SARTHAK SUSHIL</t>
        </is>
      </c>
      <c r="D72" s="8" t="n">
        <v>25</v>
      </c>
      <c r="E72" s="8" t="n">
        <v>23</v>
      </c>
      <c r="F72" s="8" t="n">
        <v>23</v>
      </c>
      <c r="G72" s="8" t="n">
        <v>21</v>
      </c>
      <c r="H72" s="8" t="n">
        <v>23</v>
      </c>
      <c r="I72" s="8" t="n">
        <v>19</v>
      </c>
      <c r="J72" s="8" t="n">
        <v>22.33</v>
      </c>
    </row>
    <row r="73">
      <c r="A73" s="14" t="inlineStr">
        <is>
          <t>23611780235</t>
        </is>
      </c>
      <c r="B73" s="14" t="inlineStr">
        <is>
          <t>63</t>
        </is>
      </c>
      <c r="C73" s="26" t="inlineStr">
        <is>
          <t>NIGAL KHUSHI DNYANESHWAR</t>
        </is>
      </c>
      <c r="D73" s="8" t="n">
        <v>25</v>
      </c>
      <c r="E73" s="8" t="n">
        <v>21</v>
      </c>
      <c r="F73" s="8" t="n">
        <v>22</v>
      </c>
      <c r="G73" s="8" t="n">
        <v>23</v>
      </c>
      <c r="H73" s="8" t="n">
        <v>24</v>
      </c>
      <c r="I73" s="8" t="n">
        <v>20</v>
      </c>
      <c r="J73" s="8" t="n">
        <v>22.5</v>
      </c>
    </row>
    <row r="74">
      <c r="A74" s="14" t="inlineStr">
        <is>
          <t>23611780236</t>
        </is>
      </c>
      <c r="B74" s="14" t="inlineStr">
        <is>
          <t>64</t>
        </is>
      </c>
      <c r="C74" s="26" t="inlineStr">
        <is>
          <t>GALANKAR ARPITA SANJAY</t>
        </is>
      </c>
      <c r="D74" s="8" t="n">
        <v>22</v>
      </c>
      <c r="E74" s="8" t="n">
        <v>25</v>
      </c>
      <c r="F74" s="8" t="n">
        <v>24</v>
      </c>
      <c r="G74" s="8" t="n">
        <v>23</v>
      </c>
      <c r="H74" s="8" t="n">
        <v>21</v>
      </c>
      <c r="I74" s="8" t="n">
        <v>24</v>
      </c>
      <c r="J74" s="8" t="n">
        <v>23.17</v>
      </c>
    </row>
    <row r="75">
      <c r="A75" s="14" t="inlineStr">
        <is>
          <t>23611780237</t>
        </is>
      </c>
      <c r="B75" s="14" t="inlineStr">
        <is>
          <t>65</t>
        </is>
      </c>
      <c r="C75" s="26" t="inlineStr">
        <is>
          <t>DEORE GAYATRI RAMDAS</t>
        </is>
      </c>
      <c r="D75" s="8" t="n">
        <v>23</v>
      </c>
      <c r="E75" s="8" t="n">
        <v>22</v>
      </c>
      <c r="F75" s="8" t="n">
        <v>25</v>
      </c>
      <c r="G75" s="8" t="n">
        <v>24</v>
      </c>
      <c r="H75" s="8" t="n">
        <v>21</v>
      </c>
      <c r="I75" s="8" t="n">
        <v>19</v>
      </c>
      <c r="J75" s="8" t="n">
        <v>22.33</v>
      </c>
    </row>
    <row r="76">
      <c r="A76" s="14" t="inlineStr">
        <is>
          <t>24611780001</t>
        </is>
      </c>
      <c r="B76" s="14" t="inlineStr">
        <is>
          <t>66</t>
        </is>
      </c>
      <c r="C76" s="26" t="inlineStr">
        <is>
          <t>THAKARE KOMAL ATAMARAM</t>
        </is>
      </c>
      <c r="D76" s="8" t="n">
        <v>21</v>
      </c>
      <c r="E76" s="8" t="n">
        <v>13</v>
      </c>
      <c r="F76" s="8" t="n">
        <v>14</v>
      </c>
      <c r="G76" s="8" t="n">
        <v>13</v>
      </c>
      <c r="H76" s="8" t="n">
        <v>14</v>
      </c>
      <c r="I76" s="8" t="n">
        <v>20</v>
      </c>
      <c r="J76" s="8" t="n">
        <v>15.83</v>
      </c>
    </row>
    <row r="77">
      <c r="A77" s="14" t="inlineStr">
        <is>
          <t>24611780002</t>
        </is>
      </c>
      <c r="B77" s="14" t="inlineStr">
        <is>
          <t>67</t>
        </is>
      </c>
      <c r="C77" s="26" t="inlineStr">
        <is>
          <t>KHARE ASHLESHA YOGESH</t>
        </is>
      </c>
      <c r="D77" s="8" t="n">
        <v>6</v>
      </c>
      <c r="E77" s="8" t="n">
        <v>11</v>
      </c>
      <c r="F77" s="8" t="n">
        <v>10</v>
      </c>
      <c r="G77" s="8" t="n">
        <v>9</v>
      </c>
      <c r="H77" s="8" t="n">
        <v>9</v>
      </c>
      <c r="I77" s="8" t="n">
        <v>21</v>
      </c>
      <c r="J77" s="8" t="n">
        <v>11</v>
      </c>
    </row>
    <row r="78">
      <c r="A78" s="14" t="inlineStr">
        <is>
          <t>24611780003</t>
        </is>
      </c>
      <c r="B78" s="14" t="inlineStr">
        <is>
          <t>68</t>
        </is>
      </c>
      <c r="C78" s="26" t="inlineStr">
        <is>
          <t>DAWARE SAKSHI HARISHCHANDRA</t>
        </is>
      </c>
      <c r="D78" s="8" t="n">
        <v>19</v>
      </c>
      <c r="E78" s="8" t="n">
        <v>18</v>
      </c>
      <c r="F78" s="8" t="n">
        <v>17</v>
      </c>
      <c r="G78" s="8" t="n">
        <v>17</v>
      </c>
      <c r="H78" s="8" t="n">
        <v>19</v>
      </c>
      <c r="I78" s="8" t="n">
        <v>25</v>
      </c>
      <c r="J78" s="8" t="n">
        <v>19.17</v>
      </c>
    </row>
    <row r="79">
      <c r="A79" s="14" t="inlineStr">
        <is>
          <t>24611780004</t>
        </is>
      </c>
      <c r="B79" s="14" t="inlineStr">
        <is>
          <t>69</t>
        </is>
      </c>
      <c r="C79" s="26" t="inlineStr">
        <is>
          <t>JADHAV YASHSWINI RAJENDRA</t>
        </is>
      </c>
      <c r="D79" s="8" t="n">
        <v>9</v>
      </c>
      <c r="E79" s="8" t="n">
        <v>13</v>
      </c>
      <c r="F79" s="8" t="n">
        <v>11</v>
      </c>
      <c r="G79" s="8" t="n">
        <v>13</v>
      </c>
      <c r="H79" s="8" t="n">
        <v>9</v>
      </c>
      <c r="I79" s="8" t="n">
        <v>8</v>
      </c>
      <c r="J79" s="8" t="n">
        <v>10.5</v>
      </c>
    </row>
    <row r="80">
      <c r="A80" s="14" t="inlineStr">
        <is>
          <t>24611780005</t>
        </is>
      </c>
      <c r="B80" s="14" t="inlineStr">
        <is>
          <t>70</t>
        </is>
      </c>
      <c r="C80" s="26" t="inlineStr">
        <is>
          <t>SONAWANE ANUSHKA PANDIT</t>
        </is>
      </c>
      <c r="D80" s="8" t="n">
        <v>12</v>
      </c>
      <c r="E80" s="8" t="n">
        <v>13</v>
      </c>
      <c r="F80" s="8" t="n">
        <v>15</v>
      </c>
      <c r="G80" s="8" t="n">
        <v>14</v>
      </c>
      <c r="H80" s="8" t="n">
        <v>16</v>
      </c>
      <c r="I80" s="8" t="n">
        <v>22</v>
      </c>
      <c r="J80" s="8" t="n">
        <v>15.33</v>
      </c>
    </row>
    <row r="81">
      <c r="A81" s="14" t="inlineStr">
        <is>
          <t>24611780006</t>
        </is>
      </c>
      <c r="B81" s="14" t="inlineStr">
        <is>
          <t>71</t>
        </is>
      </c>
      <c r="C81" s="26" t="inlineStr">
        <is>
          <t>WARKE SAHIL GUNWANT</t>
        </is>
      </c>
      <c r="D81" s="8" t="n">
        <v>7</v>
      </c>
      <c r="E81" s="8" t="n">
        <v>4</v>
      </c>
      <c r="F81" s="8" t="n">
        <v>8</v>
      </c>
      <c r="G81" s="8" t="n">
        <v>7</v>
      </c>
      <c r="H81" s="8" t="n">
        <v>4</v>
      </c>
      <c r="I81" s="8" t="n">
        <v>19</v>
      </c>
      <c r="J81" s="8" t="n">
        <v>8.17</v>
      </c>
    </row>
    <row r="82">
      <c r="A82" s="14" t="inlineStr">
        <is>
          <t>24611780007</t>
        </is>
      </c>
      <c r="B82" s="14" t="inlineStr">
        <is>
          <t>72</t>
        </is>
      </c>
      <c r="C82" s="26" t="inlineStr">
        <is>
          <t>PAGAR DNYANESHWARI PADMAKAR</t>
        </is>
      </c>
      <c r="D82" s="8" t="n">
        <v>20</v>
      </c>
      <c r="E82" s="8" t="n">
        <v>18</v>
      </c>
      <c r="F82" s="8" t="n">
        <v>15</v>
      </c>
      <c r="G82" s="8" t="n">
        <v>15</v>
      </c>
      <c r="H82" s="8" t="n">
        <v>17</v>
      </c>
      <c r="I82" s="8" t="n">
        <v>21</v>
      </c>
      <c r="J82" s="8" t="n">
        <v>17.67</v>
      </c>
    </row>
    <row r="83">
      <c r="A83" s="27" t="inlineStr">
        <is>
          <t>Average</t>
        </is>
      </c>
      <c r="D83" s="8">
        <f>IFERROR(ROUND(AVERAGE(D11:D82), 2), 0)</f>
        <v/>
      </c>
      <c r="E83" s="8">
        <f>IFERROR(ROUND(AVERAGE(E11:E82), 2), 0)</f>
        <v/>
      </c>
      <c r="F83" s="8">
        <f>IFERROR(ROUND(AVERAGE(F11:F82), 2), 0)</f>
        <v/>
      </c>
      <c r="G83" s="8">
        <f>IFERROR(ROUND(AVERAGE(G11:G82), 2), 0)</f>
        <v/>
      </c>
      <c r="H83" s="8">
        <f>IFERROR(ROUND(AVERAGE(H11:H82), 2), 0)</f>
        <v/>
      </c>
      <c r="I83" s="8">
        <f>IFERROR(ROUND(AVERAGE(I11:I82), 2), 0)</f>
        <v/>
      </c>
      <c r="J83" s="8">
        <f>IFERROR(ROUND(AVERAGE(J11:J82), 2), 0)</f>
        <v/>
      </c>
    </row>
    <row r="84">
      <c r="A84" s="27" t="inlineStr">
        <is>
          <t>Total Appeared</t>
        </is>
      </c>
      <c r="D84" s="8">
        <f>COUNT(D11:D82)</f>
        <v/>
      </c>
      <c r="E84" s="8">
        <f>COUNT(E11:E82)</f>
        <v/>
      </c>
      <c r="F84" s="8">
        <f>COUNT(F11:F82)</f>
        <v/>
      </c>
      <c r="G84" s="8">
        <f>COUNT(G11:G82)</f>
        <v/>
      </c>
      <c r="H84" s="8">
        <f>COUNT(H11:H82)</f>
        <v/>
      </c>
      <c r="I84" s="8">
        <f>COUNT(I11:I82)</f>
        <v/>
      </c>
      <c r="J84" s="8">
        <f>COUNT(J11:J82)</f>
        <v/>
      </c>
    </row>
    <row r="85">
      <c r="A85" s="27" t="inlineStr">
        <is>
          <t>% above Avg</t>
        </is>
      </c>
      <c r="D85" s="8">
        <f>IF(COUNT(D11:D82)&gt;0, ROUND(COUNTIF(D11:D82, "&gt;="&amp;D83) / COUNT(D11:D82) * 100, 2) &amp; "%", "0%")</f>
        <v/>
      </c>
      <c r="E85" s="8">
        <f>IF(COUNT(E11:E82)&gt;0, ROUND(COUNTIF(E11:E82, "&gt;="&amp;E83) / COUNT(E11:E82) * 100, 2) &amp; "%", "0%")</f>
        <v/>
      </c>
      <c r="F85" s="8">
        <f>IF(COUNT(F11:F82)&gt;0, ROUND(COUNTIF(F11:F82, "&gt;="&amp;F83) / COUNT(F11:F82) * 100, 2) &amp; "%", "0%")</f>
        <v/>
      </c>
      <c r="G85" s="8">
        <f>IF(COUNT(G11:G82)&gt;0, ROUND(COUNTIF(G11:G82, "&gt;="&amp;G83) / COUNT(G11:G82) * 100, 2) &amp; "%", "0%")</f>
        <v/>
      </c>
      <c r="H85" s="8">
        <f>IF(COUNT(H11:H82)&gt;0, ROUND(COUNTIF(H11:H82, "&gt;="&amp;H83) / COUNT(H11:H82) * 100, 2) &amp; "%", "0%")</f>
        <v/>
      </c>
      <c r="I85" s="8">
        <f>IF(COUNT(I11:I82)&gt;0, ROUND(COUNTIF(I11:I82, "&gt;="&amp;I83) / COUNT(I11:I82) * 100, 2) &amp; "%", "0%")</f>
        <v/>
      </c>
      <c r="J85" s="8">
        <f>IF(COUNT(J11:J82)&gt;0, ROUND(COUNTIF(J11:J82, "&gt;="&amp;J83) / COUNT(J11:J82) * 100, 2) &amp; "%", "0%")</f>
        <v/>
      </c>
    </row>
    <row r="86">
      <c r="A86" s="27" t="inlineStr">
        <is>
          <t>CO Attainment</t>
        </is>
      </c>
      <c r="D86" s="8" t="n">
        <v>1.83</v>
      </c>
      <c r="E86" s="8" t="n">
        <v>1.83</v>
      </c>
      <c r="F86" s="8" t="n">
        <v>1.92</v>
      </c>
      <c r="G86" s="8" t="n">
        <v>1.83</v>
      </c>
      <c r="H86" s="8" t="n">
        <v>1.83</v>
      </c>
      <c r="I86" s="8" t="n">
        <v>2.17</v>
      </c>
      <c r="J86" s="8" t="n">
        <v>2.18</v>
      </c>
    </row>
    <row r="88">
      <c r="B88" s="33" t="inlineStr">
        <is>
          <t>CO attainment through SLA</t>
        </is>
      </c>
    </row>
    <row r="89">
      <c r="B89" s="14" t="inlineStr">
        <is>
          <t>% CO Attained</t>
        </is>
      </c>
      <c r="C89" s="14" t="inlineStr">
        <is>
          <t>CO attainment</t>
        </is>
      </c>
    </row>
    <row r="90">
      <c r="B90" s="14" t="inlineStr">
        <is>
          <t>CO1</t>
        </is>
      </c>
      <c r="C90" s="15" t="n">
        <v>18.44</v>
      </c>
      <c r="D90" s="14" t="n">
        <v>0</v>
      </c>
    </row>
    <row r="91">
      <c r="B91" s="14" t="inlineStr">
        <is>
          <t>CO2</t>
        </is>
      </c>
      <c r="C91" s="15" t="n">
        <v>17.78</v>
      </c>
      <c r="D91" s="14" t="n">
        <v>1.83</v>
      </c>
    </row>
    <row r="92">
      <c r="B92" s="14" t="inlineStr">
        <is>
          <t>CO3</t>
        </is>
      </c>
      <c r="C92" s="15" t="n">
        <v>18</v>
      </c>
      <c r="D92" s="14" t="n">
        <v>1.92</v>
      </c>
    </row>
    <row r="93">
      <c r="B93" s="14" t="inlineStr">
        <is>
          <t>CO4</t>
        </is>
      </c>
      <c r="C93" s="15" t="n">
        <v>17.82</v>
      </c>
      <c r="D93" s="14" t="n">
        <v>1.83</v>
      </c>
    </row>
    <row r="94">
      <c r="B94" s="14" t="inlineStr">
        <is>
          <t>CO5</t>
        </is>
      </c>
      <c r="C94" s="15" t="n">
        <v>18.17</v>
      </c>
      <c r="D94" s="14" t="n">
        <v>1.83</v>
      </c>
    </row>
    <row r="95">
      <c r="B95" s="14" t="inlineStr">
        <is>
          <t>CO6</t>
        </is>
      </c>
      <c r="C95" s="15" t="n">
        <v>18.97</v>
      </c>
      <c r="D95" s="14" t="n">
        <v>2.17</v>
      </c>
    </row>
  </sheetData>
  <mergeCells count="22">
    <mergeCell ref="C3:M3"/>
    <mergeCell ref="A84:C84"/>
    <mergeCell ref="C9:K9"/>
    <mergeCell ref="B88:D88"/>
    <mergeCell ref="C89:D89"/>
    <mergeCell ref="A1:B3"/>
    <mergeCell ref="A6:B6"/>
    <mergeCell ref="A86:C86"/>
    <mergeCell ref="A7:B7"/>
    <mergeCell ref="A85:C85"/>
    <mergeCell ref="C1:M1"/>
    <mergeCell ref="C8:K8"/>
    <mergeCell ref="C7:K7"/>
    <mergeCell ref="A5:B5"/>
    <mergeCell ref="C2:M2"/>
    <mergeCell ref="A83:C83"/>
    <mergeCell ref="A8:B8"/>
    <mergeCell ref="C6:K6"/>
    <mergeCell ref="A4:B4"/>
    <mergeCell ref="C5:K5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25" customWidth="1" min="4" max="4"/>
  </cols>
  <sheetData>
    <row r="1">
      <c r="A1" s="1" t="n"/>
      <c r="C1" s="2" t="inlineStr">
        <is>
          <t>Sandip Polytechnic, Nashik</t>
        </is>
      </c>
      <c r="N1" s="3" t="inlineStr">
        <is>
          <t>SA-TH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SA-TH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0">
      <c r="A10" s="19" t="inlineStr">
        <is>
          <t>Enrollment No.</t>
        </is>
      </c>
      <c r="B10" s="19" t="inlineStr">
        <is>
          <t>Roll no.</t>
        </is>
      </c>
      <c r="C10" s="19" t="inlineStr">
        <is>
          <t>Name of Student</t>
        </is>
      </c>
      <c r="D10" s="7" t="inlineStr">
        <is>
          <t>Theory Marks out of 70 (SA-TH)</t>
        </is>
      </c>
    </row>
    <row r="11">
      <c r="A11" s="14" t="inlineStr">
        <is>
          <t>23611780171</t>
        </is>
      </c>
      <c r="B11" s="14" t="inlineStr">
        <is>
          <t>1</t>
        </is>
      </c>
      <c r="C11" s="26" t="inlineStr">
        <is>
          <t>MORE LALIT DILIP</t>
        </is>
      </c>
      <c r="D11" s="8" t="n">
        <v>60</v>
      </c>
    </row>
    <row r="12">
      <c r="A12" s="14" t="inlineStr">
        <is>
          <t>23611780172</t>
        </is>
      </c>
      <c r="B12" s="14" t="inlineStr">
        <is>
          <t>2</t>
        </is>
      </c>
      <c r="C12" s="26" t="inlineStr">
        <is>
          <t>JAGZAP ANIL NANA</t>
        </is>
      </c>
      <c r="D12" s="8" t="n">
        <v>62</v>
      </c>
    </row>
    <row r="13">
      <c r="A13" s="14" t="inlineStr">
        <is>
          <t>23611780173</t>
        </is>
      </c>
      <c r="B13" s="14" t="inlineStr">
        <is>
          <t>3</t>
        </is>
      </c>
      <c r="C13" s="26" t="inlineStr">
        <is>
          <t>NIKAM NIRANJAN SATISH</t>
        </is>
      </c>
      <c r="D13" s="8" t="n">
        <v>46</v>
      </c>
    </row>
    <row r="14">
      <c r="A14" s="14" t="inlineStr">
        <is>
          <t>23611780174</t>
        </is>
      </c>
      <c r="B14" s="14" t="inlineStr">
        <is>
          <t>4</t>
        </is>
      </c>
      <c r="C14" s="26" t="inlineStr">
        <is>
          <t>BIDAIT VAIBHAV BALASAHEB</t>
        </is>
      </c>
      <c r="D14" s="8" t="n">
        <v>48</v>
      </c>
    </row>
    <row r="15">
      <c r="A15" s="14" t="inlineStr">
        <is>
          <t>23611780175</t>
        </is>
      </c>
      <c r="B15" s="14" t="inlineStr">
        <is>
          <t>5</t>
        </is>
      </c>
      <c r="C15" s="26" t="inlineStr">
        <is>
          <t>BHABAD SANIKA JAGADISH</t>
        </is>
      </c>
      <c r="D15" s="8" t="n">
        <v>51</v>
      </c>
    </row>
    <row r="16">
      <c r="A16" s="14" t="inlineStr">
        <is>
          <t>23611780176</t>
        </is>
      </c>
      <c r="B16" s="14" t="inlineStr">
        <is>
          <t>6</t>
        </is>
      </c>
      <c r="C16" s="26" t="inlineStr">
        <is>
          <t>JADHAV RAHUL DEVENDRA</t>
        </is>
      </c>
      <c r="D16" s="8" t="n">
        <v>60</v>
      </c>
    </row>
    <row r="17">
      <c r="A17" s="14" t="inlineStr">
        <is>
          <t>23611780177</t>
        </is>
      </c>
      <c r="B17" s="14" t="inlineStr">
        <is>
          <t>7</t>
        </is>
      </c>
      <c r="C17" s="26" t="inlineStr">
        <is>
          <t>SURVE PARTH YOGESH</t>
        </is>
      </c>
      <c r="D17" s="8" t="n">
        <v>52</v>
      </c>
    </row>
    <row r="18">
      <c r="A18" s="14" t="inlineStr">
        <is>
          <t>23611780178</t>
        </is>
      </c>
      <c r="B18" s="14" t="inlineStr">
        <is>
          <t>8</t>
        </is>
      </c>
      <c r="C18" s="26" t="inlineStr">
        <is>
          <t>HANDE SALONI PRABHAKAR</t>
        </is>
      </c>
      <c r="D18" s="8" t="n">
        <v>60</v>
      </c>
    </row>
    <row r="19">
      <c r="A19" s="14" t="inlineStr">
        <is>
          <t>23611780179</t>
        </is>
      </c>
      <c r="B19" s="14" t="inlineStr">
        <is>
          <t>9</t>
        </is>
      </c>
      <c r="C19" s="26" t="inlineStr">
        <is>
          <t>PINGALKAR VAISHNAVI VIJAY</t>
        </is>
      </c>
      <c r="D19" s="8" t="n">
        <v>68</v>
      </c>
    </row>
    <row r="20">
      <c r="A20" s="14" t="inlineStr">
        <is>
          <t>23611780180</t>
        </is>
      </c>
      <c r="B20" s="14" t="inlineStr">
        <is>
          <t>10</t>
        </is>
      </c>
      <c r="C20" s="26" t="inlineStr">
        <is>
          <t>DEORE SURAJ RAJENDRA</t>
        </is>
      </c>
      <c r="D20" s="8" t="n">
        <v>66</v>
      </c>
    </row>
    <row r="21">
      <c r="A21" s="14" t="inlineStr">
        <is>
          <t>23611780181</t>
        </is>
      </c>
      <c r="B21" s="14" t="inlineStr">
        <is>
          <t>11</t>
        </is>
      </c>
      <c r="C21" s="26" t="inlineStr">
        <is>
          <t>NETKAR YASH DIGAMBAR</t>
        </is>
      </c>
      <c r="D21" s="8" t="n">
        <v>63</v>
      </c>
    </row>
    <row r="22">
      <c r="A22" s="14" t="inlineStr">
        <is>
          <t>23611780182</t>
        </is>
      </c>
      <c r="B22" s="14" t="inlineStr">
        <is>
          <t>12</t>
        </is>
      </c>
      <c r="C22" s="26" t="inlineStr">
        <is>
          <t>MINDE ASHUTOSH SUBHASH</t>
        </is>
      </c>
      <c r="D22" s="8" t="n">
        <v>67</v>
      </c>
    </row>
    <row r="23">
      <c r="A23" s="14" t="inlineStr">
        <is>
          <t>23611780183</t>
        </is>
      </c>
      <c r="B23" s="14" t="inlineStr">
        <is>
          <t>13</t>
        </is>
      </c>
      <c r="C23" s="26" t="inlineStr">
        <is>
          <t>CHAUDHARI CHIRAG SANJAY</t>
        </is>
      </c>
      <c r="D23" s="8" t="n">
        <v>43</v>
      </c>
    </row>
    <row r="24">
      <c r="A24" s="14" t="inlineStr">
        <is>
          <t>23611780184</t>
        </is>
      </c>
      <c r="B24" s="14" t="inlineStr">
        <is>
          <t>14</t>
        </is>
      </c>
      <c r="C24" s="26" t="inlineStr">
        <is>
          <t>AHIRRAO SARVESH SUNIL</t>
        </is>
      </c>
      <c r="D24" s="8" t="n">
        <v>54</v>
      </c>
    </row>
    <row r="25">
      <c r="A25" s="14" t="inlineStr">
        <is>
          <t>23611780185</t>
        </is>
      </c>
      <c r="B25" s="14" t="inlineStr">
        <is>
          <t>15</t>
        </is>
      </c>
      <c r="C25" s="26" t="inlineStr">
        <is>
          <t>SHEJOLE ANSHU SUNIL</t>
        </is>
      </c>
      <c r="D25" s="8" t="n">
        <v>63</v>
      </c>
    </row>
    <row r="26">
      <c r="A26" s="14" t="inlineStr">
        <is>
          <t>23611780186</t>
        </is>
      </c>
      <c r="B26" s="14" t="inlineStr">
        <is>
          <t>16</t>
        </is>
      </c>
      <c r="C26" s="26" t="inlineStr">
        <is>
          <t>SHAIKH FARHEEN HUSSAIN M.</t>
        </is>
      </c>
      <c r="D26" s="8" t="n">
        <v>70</v>
      </c>
    </row>
    <row r="27">
      <c r="A27" s="14" t="inlineStr">
        <is>
          <t>23611780187</t>
        </is>
      </c>
      <c r="B27" s="14" t="inlineStr">
        <is>
          <t>17</t>
        </is>
      </c>
      <c r="C27" s="26" t="inlineStr">
        <is>
          <t>PURE SHREYAS SUBHASH</t>
        </is>
      </c>
      <c r="D27" s="8" t="n">
        <v>57</v>
      </c>
    </row>
    <row r="28">
      <c r="A28" s="14" t="inlineStr">
        <is>
          <t>23611780188</t>
        </is>
      </c>
      <c r="B28" s="14" t="inlineStr">
        <is>
          <t>18</t>
        </is>
      </c>
      <c r="C28" s="26" t="inlineStr">
        <is>
          <t>GANGURDE HEMANT HARI</t>
        </is>
      </c>
      <c r="D28" s="8" t="n">
        <v>56</v>
      </c>
    </row>
    <row r="29">
      <c r="A29" s="14" t="inlineStr">
        <is>
          <t>23611780189</t>
        </is>
      </c>
      <c r="B29" s="14" t="inlineStr">
        <is>
          <t>19</t>
        </is>
      </c>
      <c r="C29" s="26" t="inlineStr">
        <is>
          <t>KOR LOKESH SATISH</t>
        </is>
      </c>
      <c r="D29" s="8" t="n">
        <v>65</v>
      </c>
    </row>
    <row r="30">
      <c r="A30" s="14" t="inlineStr">
        <is>
          <t>23611780190</t>
        </is>
      </c>
      <c r="B30" s="14" t="inlineStr">
        <is>
          <t>20</t>
        </is>
      </c>
      <c r="C30" s="26" t="inlineStr">
        <is>
          <t>DEORE VAISHNAVI DILIP</t>
        </is>
      </c>
      <c r="D30" s="8" t="n">
        <v>60</v>
      </c>
    </row>
    <row r="31">
      <c r="A31" s="14" t="inlineStr">
        <is>
          <t>23611780191</t>
        </is>
      </c>
      <c r="B31" s="14" t="inlineStr">
        <is>
          <t>21</t>
        </is>
      </c>
      <c r="C31" s="26" t="inlineStr">
        <is>
          <t>MAHAJAN RADHIKA KANTILAL</t>
        </is>
      </c>
      <c r="D31" s="8" t="n">
        <v>58</v>
      </c>
    </row>
    <row r="32">
      <c r="A32" s="14" t="inlineStr">
        <is>
          <t>23611780192</t>
        </is>
      </c>
      <c r="B32" s="14" t="inlineStr">
        <is>
          <t>22</t>
        </is>
      </c>
      <c r="C32" s="26" t="inlineStr">
        <is>
          <t>DESHMANE PURVA SANTOSH</t>
        </is>
      </c>
      <c r="D32" s="8" t="n">
        <v>65</v>
      </c>
    </row>
    <row r="33">
      <c r="A33" s="14" t="inlineStr">
        <is>
          <t>23611780193</t>
        </is>
      </c>
      <c r="B33" s="14" t="inlineStr">
        <is>
          <t>23</t>
        </is>
      </c>
      <c r="C33" s="26" t="inlineStr">
        <is>
          <t>CHITTE GRISHMA RAVINDRA</t>
        </is>
      </c>
      <c r="D33" s="8" t="n">
        <v>65</v>
      </c>
    </row>
    <row r="34">
      <c r="A34" s="14" t="inlineStr">
        <is>
          <t>23611780194</t>
        </is>
      </c>
      <c r="B34" s="14" t="inlineStr">
        <is>
          <t>24</t>
        </is>
      </c>
      <c r="C34" s="26" t="inlineStr">
        <is>
          <t>JADHAV SHUBHAM T.</t>
        </is>
      </c>
      <c r="D34" s="8" t="n">
        <v>41</v>
      </c>
    </row>
    <row r="35">
      <c r="A35" s="14" t="inlineStr">
        <is>
          <t>23611780195</t>
        </is>
      </c>
      <c r="B35" s="14" t="inlineStr">
        <is>
          <t>25</t>
        </is>
      </c>
      <c r="C35" s="26" t="inlineStr">
        <is>
          <t>PAWAR KARANSING J.</t>
        </is>
      </c>
      <c r="D35" s="8" t="n">
        <v>61</v>
      </c>
    </row>
    <row r="36">
      <c r="A36" s="14" t="inlineStr">
        <is>
          <t>23611780196</t>
        </is>
      </c>
      <c r="B36" s="14" t="inlineStr">
        <is>
          <t>26</t>
        </is>
      </c>
      <c r="C36" s="26" t="inlineStr">
        <is>
          <t>GADHARI KIRTI DATTU</t>
        </is>
      </c>
      <c r="D36" s="8" t="n">
        <v>44</v>
      </c>
    </row>
    <row r="37">
      <c r="A37" s="14" t="inlineStr">
        <is>
          <t>23611780197</t>
        </is>
      </c>
      <c r="B37" s="14" t="inlineStr">
        <is>
          <t>27</t>
        </is>
      </c>
      <c r="C37" s="26" t="inlineStr">
        <is>
          <t>MORE ADITYA SANJAY</t>
        </is>
      </c>
      <c r="D37" s="8" t="n">
        <v>61</v>
      </c>
    </row>
    <row r="38">
      <c r="A38" s="14" t="inlineStr">
        <is>
          <t>23611780198</t>
        </is>
      </c>
      <c r="B38" s="14" t="inlineStr">
        <is>
          <t>28</t>
        </is>
      </c>
      <c r="C38" s="26" t="inlineStr">
        <is>
          <t>DHIVARE BHAVESH GAUTAM</t>
        </is>
      </c>
      <c r="D38" s="8" t="n">
        <v>58</v>
      </c>
    </row>
    <row r="39">
      <c r="A39" s="14" t="inlineStr">
        <is>
          <t>23611780199</t>
        </is>
      </c>
      <c r="B39" s="14" t="inlineStr">
        <is>
          <t>29</t>
        </is>
      </c>
      <c r="C39" s="26" t="inlineStr">
        <is>
          <t>SAMUDRE PRATIK RAJENDRA</t>
        </is>
      </c>
      <c r="D39" s="8" t="n">
        <v>41</v>
      </c>
    </row>
    <row r="40">
      <c r="A40" s="14" t="inlineStr">
        <is>
          <t>23611780200</t>
        </is>
      </c>
      <c r="B40" s="14" t="inlineStr">
        <is>
          <t>30</t>
        </is>
      </c>
      <c r="C40" s="26" t="inlineStr">
        <is>
          <t>AHIRRAO MANASWI ANIL</t>
        </is>
      </c>
      <c r="D40" s="8" t="n">
        <v>52</v>
      </c>
    </row>
    <row r="41">
      <c r="A41" s="14" t="inlineStr">
        <is>
          <t>23611780201</t>
        </is>
      </c>
      <c r="B41" s="14" t="inlineStr">
        <is>
          <t>31</t>
        </is>
      </c>
      <c r="C41" s="26" t="inlineStr">
        <is>
          <t>MORE SWAPNIL SATISH</t>
        </is>
      </c>
      <c r="D41" s="8" t="n">
        <v>46</v>
      </c>
    </row>
    <row r="42">
      <c r="A42" s="14" t="inlineStr">
        <is>
          <t>23611780202</t>
        </is>
      </c>
      <c r="B42" s="14" t="inlineStr">
        <is>
          <t>32</t>
        </is>
      </c>
      <c r="C42" s="26" t="inlineStr">
        <is>
          <t>RAUTMALE CHETAN SURESH</t>
        </is>
      </c>
      <c r="D42" s="8" t="n">
        <v>37</v>
      </c>
    </row>
    <row r="43">
      <c r="A43" s="14" t="inlineStr">
        <is>
          <t>23611780203</t>
        </is>
      </c>
      <c r="B43" s="14" t="inlineStr">
        <is>
          <t>33</t>
        </is>
      </c>
      <c r="C43" s="26" t="inlineStr">
        <is>
          <t>SALVE SOHAM GAJANAN</t>
        </is>
      </c>
      <c r="D43" s="8" t="n">
        <v>47</v>
      </c>
    </row>
    <row r="44">
      <c r="A44" s="14" t="inlineStr">
        <is>
          <t>23611780204</t>
        </is>
      </c>
      <c r="B44" s="14" t="inlineStr">
        <is>
          <t>34</t>
        </is>
      </c>
      <c r="C44" s="26" t="inlineStr">
        <is>
          <t>GHODSARE ROSHAN ARUN</t>
        </is>
      </c>
      <c r="D44" s="8" t="n">
        <v>53</v>
      </c>
    </row>
    <row r="45">
      <c r="A45" s="14" t="inlineStr">
        <is>
          <t>23611780205</t>
        </is>
      </c>
      <c r="B45" s="14" t="inlineStr">
        <is>
          <t>35</t>
        </is>
      </c>
      <c r="C45" s="26" t="inlineStr">
        <is>
          <t>AHIRE CHARUDATTA SUBHASH</t>
        </is>
      </c>
      <c r="D45" s="8" t="n">
        <v>60</v>
      </c>
    </row>
    <row r="46">
      <c r="A46" s="14" t="inlineStr">
        <is>
          <t>23611780206</t>
        </is>
      </c>
      <c r="B46" s="14" t="inlineStr">
        <is>
          <t>36</t>
        </is>
      </c>
      <c r="C46" s="26" t="inlineStr">
        <is>
          <t>BANKAR VISHAKHA RANJEET</t>
        </is>
      </c>
      <c r="D46" s="8" t="n">
        <v>62</v>
      </c>
    </row>
    <row r="47">
      <c r="A47" s="14" t="inlineStr">
        <is>
          <t>23611780207</t>
        </is>
      </c>
      <c r="B47" s="14" t="inlineStr">
        <is>
          <t>37</t>
        </is>
      </c>
      <c r="C47" s="26" t="inlineStr">
        <is>
          <t>PAWAR POOJA RESHMABAI</t>
        </is>
      </c>
      <c r="D47" s="8" t="n">
        <v>50</v>
      </c>
    </row>
    <row r="48">
      <c r="A48" s="14" t="inlineStr">
        <is>
          <t>23611780208</t>
        </is>
      </c>
      <c r="B48" s="14" t="inlineStr">
        <is>
          <t>38</t>
        </is>
      </c>
      <c r="C48" s="26" t="inlineStr">
        <is>
          <t>SAINDANE SEJAL PANKAJ</t>
        </is>
      </c>
      <c r="D48" s="8" t="n">
        <v>50</v>
      </c>
    </row>
    <row r="49">
      <c r="A49" s="14" t="inlineStr">
        <is>
          <t>23611780209</t>
        </is>
      </c>
      <c r="B49" s="14" t="inlineStr">
        <is>
          <t>39</t>
        </is>
      </c>
      <c r="C49" s="26" t="inlineStr">
        <is>
          <t>KARTULE ABHAY KALU</t>
        </is>
      </c>
      <c r="D49" s="8" t="n">
        <v>6</v>
      </c>
    </row>
    <row r="50">
      <c r="A50" s="14" t="inlineStr">
        <is>
          <t>23611780210</t>
        </is>
      </c>
      <c r="B50" s="14" t="inlineStr">
        <is>
          <t>40</t>
        </is>
      </c>
      <c r="C50" s="26" t="inlineStr">
        <is>
          <t>SAPKAL SOMESH MANOHAR</t>
        </is>
      </c>
      <c r="D50" s="8" t="n">
        <v>50</v>
      </c>
    </row>
    <row r="51">
      <c r="A51" s="14" t="inlineStr">
        <is>
          <t>23611780211</t>
        </is>
      </c>
      <c r="B51" s="14" t="inlineStr">
        <is>
          <t>41</t>
        </is>
      </c>
      <c r="C51" s="26" t="inlineStr">
        <is>
          <t>MANDWADE CHAITANYA VIJAY</t>
        </is>
      </c>
      <c r="D51" s="8" t="n">
        <v>42</v>
      </c>
    </row>
    <row r="52">
      <c r="A52" s="14" t="inlineStr">
        <is>
          <t>23611780212</t>
        </is>
      </c>
      <c r="B52" s="14" t="inlineStr">
        <is>
          <t>42</t>
        </is>
      </c>
      <c r="C52" s="26" t="inlineStr">
        <is>
          <t>SURYAWANSHI PRATIK M.</t>
        </is>
      </c>
      <c r="D52" s="8" t="n">
        <v>51</v>
      </c>
    </row>
    <row r="53">
      <c r="A53" s="14" t="inlineStr">
        <is>
          <t>23611780213</t>
        </is>
      </c>
      <c r="B53" s="14" t="inlineStr">
        <is>
          <t>43</t>
        </is>
      </c>
      <c r="C53" s="26" t="inlineStr">
        <is>
          <t>GUJARE AMBIKA SHANTARAM</t>
        </is>
      </c>
      <c r="D53" s="8" t="n">
        <v>49</v>
      </c>
    </row>
    <row r="54">
      <c r="A54" s="14" t="inlineStr">
        <is>
          <t>23611780214</t>
        </is>
      </c>
      <c r="B54" s="14" t="inlineStr">
        <is>
          <t>44</t>
        </is>
      </c>
      <c r="C54" s="26" t="inlineStr">
        <is>
          <t>KARPE PAYAL PRAVIN</t>
        </is>
      </c>
      <c r="D54" s="8" t="n">
        <v>40</v>
      </c>
    </row>
    <row r="55">
      <c r="A55" s="14" t="inlineStr">
        <is>
          <t>23611780215</t>
        </is>
      </c>
      <c r="B55" s="14" t="inlineStr">
        <is>
          <t>45</t>
        </is>
      </c>
      <c r="C55" s="26" t="inlineStr">
        <is>
          <t>AHER ANIKET LAXMAN</t>
        </is>
      </c>
      <c r="D55" s="8" t="n">
        <v>39</v>
      </c>
    </row>
    <row r="56">
      <c r="A56" s="14" t="inlineStr">
        <is>
          <t>23611780216</t>
        </is>
      </c>
      <c r="B56" s="14" t="inlineStr">
        <is>
          <t>46</t>
        </is>
      </c>
      <c r="C56" s="26" t="inlineStr">
        <is>
          <t>PATIL ATHARVA RAJENDRA</t>
        </is>
      </c>
      <c r="D56" s="8" t="n">
        <v>29</v>
      </c>
    </row>
    <row r="57">
      <c r="A57" s="14" t="inlineStr">
        <is>
          <t>23611780217</t>
        </is>
      </c>
      <c r="B57" s="14" t="inlineStr">
        <is>
          <t>47</t>
        </is>
      </c>
      <c r="C57" s="26" t="inlineStr">
        <is>
          <t>RAUNDAL VRUSHABH UMESH</t>
        </is>
      </c>
      <c r="D57" s="8" t="n">
        <v>14</v>
      </c>
    </row>
    <row r="58">
      <c r="A58" s="14" t="inlineStr">
        <is>
          <t>23611780218</t>
        </is>
      </c>
      <c r="B58" s="14" t="inlineStr">
        <is>
          <t>48</t>
        </is>
      </c>
      <c r="C58" s="26" t="inlineStr">
        <is>
          <t>PATIL GAYATRI NAMDEO</t>
        </is>
      </c>
      <c r="D58" s="8" t="n">
        <v>4</v>
      </c>
    </row>
    <row r="59">
      <c r="A59" s="14" t="inlineStr">
        <is>
          <t>23611780219</t>
        </is>
      </c>
      <c r="B59" s="14" t="inlineStr">
        <is>
          <t>49</t>
        </is>
      </c>
      <c r="C59" s="26" t="inlineStr">
        <is>
          <t>SHELAR SWARUP SADASHIV</t>
        </is>
      </c>
      <c r="D59" s="8" t="n">
        <v>33</v>
      </c>
    </row>
    <row r="60">
      <c r="A60" s="14" t="inlineStr">
        <is>
          <t>23611780220</t>
        </is>
      </c>
      <c r="B60" s="14" t="inlineStr">
        <is>
          <t>50</t>
        </is>
      </c>
      <c r="C60" s="26" t="inlineStr">
        <is>
          <t>BHAGWAT SANCHIT VIJAY</t>
        </is>
      </c>
      <c r="D60" s="8" t="n">
        <v>51</v>
      </c>
    </row>
    <row r="61">
      <c r="A61" s="14" t="inlineStr">
        <is>
          <t>23611780221</t>
        </is>
      </c>
      <c r="B61" s="14" t="inlineStr">
        <is>
          <t>51</t>
        </is>
      </c>
      <c r="C61" s="26" t="inlineStr">
        <is>
          <t>MALI ARYAN MANOJ</t>
        </is>
      </c>
      <c r="D61" s="8" t="n">
        <v>38</v>
      </c>
    </row>
    <row r="62">
      <c r="A62" s="14" t="inlineStr">
        <is>
          <t>23611780222</t>
        </is>
      </c>
      <c r="B62" s="14" t="inlineStr">
        <is>
          <t>52</t>
        </is>
      </c>
      <c r="C62" s="26" t="inlineStr">
        <is>
          <t>PATIL SAKSHI PRAMOD</t>
        </is>
      </c>
      <c r="D62" s="8" t="n">
        <v>57</v>
      </c>
    </row>
    <row r="63">
      <c r="A63" s="14" t="inlineStr">
        <is>
          <t>23611780223</t>
        </is>
      </c>
      <c r="B63" s="14" t="inlineStr">
        <is>
          <t>53</t>
        </is>
      </c>
      <c r="C63" s="26" t="inlineStr">
        <is>
          <t>WAGH ARYAN DINESH</t>
        </is>
      </c>
      <c r="D63" s="8" t="n">
        <v>46</v>
      </c>
    </row>
    <row r="64">
      <c r="A64" s="14" t="inlineStr">
        <is>
          <t>23611780224</t>
        </is>
      </c>
      <c r="B64" s="14" t="inlineStr">
        <is>
          <t>54</t>
        </is>
      </c>
      <c r="C64" s="26" t="inlineStr">
        <is>
          <t>MISHRA PUSHKAR</t>
        </is>
      </c>
      <c r="D64" s="8" t="n">
        <v>41</v>
      </c>
    </row>
    <row r="65">
      <c r="A65" s="14" t="inlineStr">
        <is>
          <t>23611780225</t>
        </is>
      </c>
      <c r="B65" s="14" t="inlineStr">
        <is>
          <t>55</t>
        </is>
      </c>
      <c r="C65" s="26" t="inlineStr">
        <is>
          <t>BIDVE MOHIT SUBODH</t>
        </is>
      </c>
      <c r="D65" s="8" t="n">
        <v>17</v>
      </c>
    </row>
    <row r="66">
      <c r="A66" s="14" t="inlineStr">
        <is>
          <t>23611780227</t>
        </is>
      </c>
      <c r="B66" s="14" t="inlineStr">
        <is>
          <t>56</t>
        </is>
      </c>
      <c r="C66" s="26" t="inlineStr">
        <is>
          <t>PANDIT JAYTESH J.</t>
        </is>
      </c>
      <c r="D66" s="8" t="n">
        <v>31</v>
      </c>
    </row>
    <row r="67">
      <c r="A67" s="14" t="inlineStr">
        <is>
          <t>23611780228</t>
        </is>
      </c>
      <c r="B67" s="14" t="inlineStr">
        <is>
          <t>57</t>
        </is>
      </c>
      <c r="C67" s="26" t="inlineStr">
        <is>
          <t>PATEL MAHI URVISH</t>
        </is>
      </c>
      <c r="D67" s="8" t="n">
        <v>50</v>
      </c>
    </row>
    <row r="68">
      <c r="A68" s="14" t="inlineStr">
        <is>
          <t>23611780230</t>
        </is>
      </c>
      <c r="B68" s="14" t="inlineStr">
        <is>
          <t>58</t>
        </is>
      </c>
      <c r="C68" s="26" t="inlineStr">
        <is>
          <t>PATIL VRUSHALI VINOD</t>
        </is>
      </c>
      <c r="D68" s="8" t="n">
        <v>56</v>
      </c>
    </row>
    <row r="69">
      <c r="A69" s="14" t="inlineStr">
        <is>
          <t>23611780231</t>
        </is>
      </c>
      <c r="B69" s="14" t="inlineStr">
        <is>
          <t>59</t>
        </is>
      </c>
      <c r="C69" s="26" t="inlineStr">
        <is>
          <t>SONAWANE SOHAM SOPAN</t>
        </is>
      </c>
      <c r="D69" s="8" t="n">
        <v>60</v>
      </c>
    </row>
    <row r="70">
      <c r="A70" s="14" t="inlineStr">
        <is>
          <t>23611780232</t>
        </is>
      </c>
      <c r="B70" s="14" t="inlineStr">
        <is>
          <t>60</t>
        </is>
      </c>
      <c r="C70" s="26" t="inlineStr">
        <is>
          <t>DESALE GAURI RAOSAHEB</t>
        </is>
      </c>
      <c r="D70" s="8" t="n">
        <v>65</v>
      </c>
    </row>
    <row r="71">
      <c r="A71" s="14" t="inlineStr">
        <is>
          <t>23611780233</t>
        </is>
      </c>
      <c r="B71" s="14" t="inlineStr">
        <is>
          <t>61</t>
        </is>
      </c>
      <c r="C71" s="26" t="inlineStr">
        <is>
          <t>BARHATE PRANJAL MADHAV</t>
        </is>
      </c>
      <c r="D71" s="8" t="n">
        <v>59</v>
      </c>
    </row>
    <row r="72">
      <c r="A72" s="14" t="inlineStr">
        <is>
          <t>23611780234</t>
        </is>
      </c>
      <c r="B72" s="14" t="inlineStr">
        <is>
          <t>62</t>
        </is>
      </c>
      <c r="C72" s="26" t="inlineStr">
        <is>
          <t>KANADE SARTHAK SUSHIL</t>
        </is>
      </c>
      <c r="D72" s="8" t="n">
        <v>57</v>
      </c>
    </row>
    <row r="73">
      <c r="A73" s="14" t="inlineStr">
        <is>
          <t>23611780235</t>
        </is>
      </c>
      <c r="B73" s="14" t="inlineStr">
        <is>
          <t>63</t>
        </is>
      </c>
      <c r="C73" s="26" t="inlineStr">
        <is>
          <t>NIGAL KHUSHI DNYANESHWAR</t>
        </is>
      </c>
      <c r="D73" s="8" t="n">
        <v>69</v>
      </c>
    </row>
    <row r="74">
      <c r="A74" s="14" t="inlineStr">
        <is>
          <t>23611780236</t>
        </is>
      </c>
      <c r="B74" s="14" t="inlineStr">
        <is>
          <t>64</t>
        </is>
      </c>
      <c r="C74" s="26" t="inlineStr">
        <is>
          <t>GALANKAR ARPITA SANJAY</t>
        </is>
      </c>
      <c r="D74" s="8" t="n">
        <v>66</v>
      </c>
    </row>
    <row r="75">
      <c r="A75" s="14" t="inlineStr">
        <is>
          <t>23611780237</t>
        </is>
      </c>
      <c r="B75" s="14" t="inlineStr">
        <is>
          <t>65</t>
        </is>
      </c>
      <c r="C75" s="26" t="inlineStr">
        <is>
          <t>DEORE GAYATRI RAMDAS</t>
        </is>
      </c>
      <c r="D75" s="8" t="n">
        <v>69</v>
      </c>
    </row>
    <row r="76">
      <c r="A76" s="14" t="inlineStr">
        <is>
          <t>24611780001</t>
        </is>
      </c>
      <c r="B76" s="14" t="inlineStr">
        <is>
          <t>66</t>
        </is>
      </c>
      <c r="C76" s="26" t="inlineStr">
        <is>
          <t>THAKARE KOMAL ATAMARAM</t>
        </is>
      </c>
      <c r="D76" s="8" t="n">
        <v>48</v>
      </c>
    </row>
    <row r="77">
      <c r="A77" s="14" t="inlineStr">
        <is>
          <t>24611780002</t>
        </is>
      </c>
      <c r="B77" s="14" t="inlineStr">
        <is>
          <t>67</t>
        </is>
      </c>
      <c r="C77" s="26" t="inlineStr">
        <is>
          <t>KHARE ASHLESHA YOGESH</t>
        </is>
      </c>
      <c r="D77" s="8" t="n">
        <v>21</v>
      </c>
    </row>
    <row r="78">
      <c r="A78" s="14" t="inlineStr">
        <is>
          <t>24611780003</t>
        </is>
      </c>
      <c r="B78" s="14" t="inlineStr">
        <is>
          <t>68</t>
        </is>
      </c>
      <c r="C78" s="26" t="inlineStr">
        <is>
          <t>DAWARE SAKSHI HARISHCHANDRA</t>
        </is>
      </c>
      <c r="D78" s="8" t="n">
        <v>40</v>
      </c>
    </row>
    <row r="79">
      <c r="A79" s="14" t="inlineStr">
        <is>
          <t>24611780004</t>
        </is>
      </c>
      <c r="B79" s="14" t="inlineStr">
        <is>
          <t>69</t>
        </is>
      </c>
      <c r="C79" s="26" t="inlineStr">
        <is>
          <t>JADHAV YASHSWINI RAJENDRA</t>
        </is>
      </c>
      <c r="D79" s="8" t="n">
        <v>32</v>
      </c>
    </row>
    <row r="80">
      <c r="A80" s="14" t="inlineStr">
        <is>
          <t>24611780005</t>
        </is>
      </c>
      <c r="B80" s="14" t="inlineStr">
        <is>
          <t>70</t>
        </is>
      </c>
      <c r="C80" s="26" t="inlineStr">
        <is>
          <t>SONAWANE ANUSHKA PANDIT</t>
        </is>
      </c>
      <c r="D80" s="8" t="n">
        <v>38</v>
      </c>
    </row>
    <row r="81">
      <c r="A81" s="14" t="inlineStr">
        <is>
          <t>24611780006</t>
        </is>
      </c>
      <c r="B81" s="14" t="inlineStr">
        <is>
          <t>71</t>
        </is>
      </c>
      <c r="C81" s="26" t="inlineStr">
        <is>
          <t>WARKE SAHIL GUNWANT</t>
        </is>
      </c>
      <c r="D81" s="8" t="n">
        <v>33</v>
      </c>
    </row>
    <row r="82">
      <c r="A82" s="14" t="inlineStr">
        <is>
          <t>24611780007</t>
        </is>
      </c>
      <c r="B82" s="14" t="inlineStr">
        <is>
          <t>72</t>
        </is>
      </c>
      <c r="C82" s="26" t="inlineStr">
        <is>
          <t>PAGAR DNYANESHWARI PADMAKAR</t>
        </is>
      </c>
      <c r="D82" s="8" t="n">
        <v>49</v>
      </c>
    </row>
    <row r="83">
      <c r="A83" s="27" t="inlineStr">
        <is>
          <t>Average</t>
        </is>
      </c>
      <c r="D83" s="28" t="n">
        <v>49.61</v>
      </c>
    </row>
    <row r="84">
      <c r="A84" s="27" t="inlineStr">
        <is>
          <t>Total Students Appeared</t>
        </is>
      </c>
      <c r="D84" s="28" t="n">
        <v>72</v>
      </c>
    </row>
    <row r="85">
      <c r="A85" s="27" t="inlineStr">
        <is>
          <t>Absent</t>
        </is>
      </c>
      <c r="D85" s="28" t="n">
        <v>0</v>
      </c>
    </row>
    <row r="86">
      <c r="A86" s="27" t="inlineStr">
        <is>
          <t>Max Marks</t>
        </is>
      </c>
      <c r="D86" s="28" t="n">
        <v>70</v>
      </c>
    </row>
    <row r="87">
      <c r="A87" s="27" t="inlineStr">
        <is>
          <t>CO Attainment</t>
        </is>
      </c>
      <c r="D87" s="28" t="n">
        <v>1.75</v>
      </c>
    </row>
  </sheetData>
  <mergeCells count="21">
    <mergeCell ref="C3:M3"/>
    <mergeCell ref="A84:C84"/>
    <mergeCell ref="C9:K9"/>
    <mergeCell ref="A1:B3"/>
    <mergeCell ref="A6:B6"/>
    <mergeCell ref="A86:C86"/>
    <mergeCell ref="A7:B7"/>
    <mergeCell ref="A85:C85"/>
    <mergeCell ref="A87:C87"/>
    <mergeCell ref="C1:M1"/>
    <mergeCell ref="C8:K8"/>
    <mergeCell ref="C7:K7"/>
    <mergeCell ref="A5:B5"/>
    <mergeCell ref="C2:M2"/>
    <mergeCell ref="A83:C83"/>
    <mergeCell ref="A8:B8"/>
    <mergeCell ref="C6:K6"/>
    <mergeCell ref="A4:B4"/>
    <mergeCell ref="C5:K5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8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25" customWidth="1" min="4" max="4"/>
  </cols>
  <sheetData>
    <row r="1">
      <c r="A1" s="1" t="n"/>
      <c r="C1" s="2" t="inlineStr">
        <is>
          <t>Sandip Polytechnic, Nashik</t>
        </is>
      </c>
      <c r="N1" s="3" t="inlineStr">
        <is>
          <t>SA-PR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SA-PR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0">
      <c r="A10" s="19" t="inlineStr">
        <is>
          <t>Enrollment No.</t>
        </is>
      </c>
      <c r="B10" s="19" t="inlineStr">
        <is>
          <t>Roll no.</t>
        </is>
      </c>
      <c r="C10" s="19" t="inlineStr">
        <is>
          <t>Name of Student</t>
        </is>
      </c>
      <c r="D10" s="7" t="inlineStr">
        <is>
          <t>Marks out of 25 (SA-PR)</t>
        </is>
      </c>
    </row>
    <row r="11">
      <c r="A11" s="14" t="inlineStr">
        <is>
          <t>23611780171</t>
        </is>
      </c>
      <c r="B11" s="14" t="inlineStr">
        <is>
          <t>1</t>
        </is>
      </c>
      <c r="C11" s="26" t="inlineStr">
        <is>
          <t>MORE LALIT DILIP</t>
        </is>
      </c>
      <c r="D11" s="8" t="n">
        <v>20</v>
      </c>
    </row>
    <row r="12">
      <c r="A12" s="14" t="inlineStr">
        <is>
          <t>23611780172</t>
        </is>
      </c>
      <c r="B12" s="14" t="inlineStr">
        <is>
          <t>2</t>
        </is>
      </c>
      <c r="C12" s="26" t="inlineStr">
        <is>
          <t>JAGZAP ANIL NANA</t>
        </is>
      </c>
      <c r="D12" s="8" t="n">
        <v>22</v>
      </c>
    </row>
    <row r="13">
      <c r="A13" s="14" t="inlineStr">
        <is>
          <t>23611780173</t>
        </is>
      </c>
      <c r="B13" s="14" t="inlineStr">
        <is>
          <t>3</t>
        </is>
      </c>
      <c r="C13" s="26" t="inlineStr">
        <is>
          <t>NIKAM NIRANJAN SATISH</t>
        </is>
      </c>
      <c r="D13" s="8" t="n">
        <v>20</v>
      </c>
    </row>
    <row r="14">
      <c r="A14" s="14" t="inlineStr">
        <is>
          <t>23611780174</t>
        </is>
      </c>
      <c r="B14" s="14" t="inlineStr">
        <is>
          <t>4</t>
        </is>
      </c>
      <c r="C14" s="26" t="inlineStr">
        <is>
          <t>BIDAIT VAIBHAV BALASAHEB</t>
        </is>
      </c>
      <c r="D14" s="8" t="n">
        <v>20</v>
      </c>
    </row>
    <row r="15">
      <c r="A15" s="14" t="inlineStr">
        <is>
          <t>23611780175</t>
        </is>
      </c>
      <c r="B15" s="14" t="inlineStr">
        <is>
          <t>5</t>
        </is>
      </c>
      <c r="C15" s="26" t="inlineStr">
        <is>
          <t>BHABAD SANIKA JAGADISH</t>
        </is>
      </c>
      <c r="D15" s="8" t="n">
        <v>21</v>
      </c>
    </row>
    <row r="16">
      <c r="A16" s="14" t="inlineStr">
        <is>
          <t>23611780176</t>
        </is>
      </c>
      <c r="B16" s="14" t="inlineStr">
        <is>
          <t>6</t>
        </is>
      </c>
      <c r="C16" s="26" t="inlineStr">
        <is>
          <t>JADHAV RAHUL DEVENDRA</t>
        </is>
      </c>
      <c r="D16" s="8" t="n">
        <v>21</v>
      </c>
    </row>
    <row r="17">
      <c r="A17" s="14" t="inlineStr">
        <is>
          <t>23611780177</t>
        </is>
      </c>
      <c r="B17" s="14" t="inlineStr">
        <is>
          <t>7</t>
        </is>
      </c>
      <c r="C17" s="26" t="inlineStr">
        <is>
          <t>SURVE PARTH YOGESH</t>
        </is>
      </c>
      <c r="D17" s="8" t="n">
        <v>20</v>
      </c>
    </row>
    <row r="18">
      <c r="A18" s="14" t="inlineStr">
        <is>
          <t>23611780178</t>
        </is>
      </c>
      <c r="B18" s="14" t="inlineStr">
        <is>
          <t>8</t>
        </is>
      </c>
      <c r="C18" s="26" t="inlineStr">
        <is>
          <t>HANDE SALONI PRABHAKAR</t>
        </is>
      </c>
      <c r="D18" s="8" t="n">
        <v>21</v>
      </c>
    </row>
    <row r="19">
      <c r="A19" s="14" t="inlineStr">
        <is>
          <t>23611780179</t>
        </is>
      </c>
      <c r="B19" s="14" t="inlineStr">
        <is>
          <t>9</t>
        </is>
      </c>
      <c r="C19" s="26" t="inlineStr">
        <is>
          <t>PINGALKAR VAISHNAVI VIJAY</t>
        </is>
      </c>
      <c r="D19" s="8" t="n">
        <v>22</v>
      </c>
    </row>
    <row r="20">
      <c r="A20" s="14" t="inlineStr">
        <is>
          <t>23611780180</t>
        </is>
      </c>
      <c r="B20" s="14" t="inlineStr">
        <is>
          <t>10</t>
        </is>
      </c>
      <c r="C20" s="26" t="inlineStr">
        <is>
          <t>DEORE SURAJ RAJENDRA</t>
        </is>
      </c>
      <c r="D20" s="8" t="n">
        <v>22</v>
      </c>
    </row>
    <row r="21">
      <c r="A21" s="14" t="inlineStr">
        <is>
          <t>23611780181</t>
        </is>
      </c>
      <c r="B21" s="14" t="inlineStr">
        <is>
          <t>11</t>
        </is>
      </c>
      <c r="C21" s="26" t="inlineStr">
        <is>
          <t>NETKAR YASH DIGAMBAR</t>
        </is>
      </c>
      <c r="D21" s="8" t="n">
        <v>21</v>
      </c>
    </row>
    <row r="22">
      <c r="A22" s="14" t="inlineStr">
        <is>
          <t>23611780182</t>
        </is>
      </c>
      <c r="B22" s="14" t="inlineStr">
        <is>
          <t>12</t>
        </is>
      </c>
      <c r="C22" s="26" t="inlineStr">
        <is>
          <t>MINDE ASHUTOSH SUBHASH</t>
        </is>
      </c>
      <c r="D22" s="8" t="n">
        <v>22</v>
      </c>
    </row>
    <row r="23">
      <c r="A23" s="14" t="inlineStr">
        <is>
          <t>23611780183</t>
        </is>
      </c>
      <c r="B23" s="14" t="inlineStr">
        <is>
          <t>13</t>
        </is>
      </c>
      <c r="C23" s="26" t="inlineStr">
        <is>
          <t>CHAUDHARI CHIRAG SANJAY</t>
        </is>
      </c>
      <c r="D23" s="8" t="n">
        <v>21</v>
      </c>
    </row>
    <row r="24">
      <c r="A24" s="14" t="inlineStr">
        <is>
          <t>23611780184</t>
        </is>
      </c>
      <c r="B24" s="14" t="inlineStr">
        <is>
          <t>14</t>
        </is>
      </c>
      <c r="C24" s="26" t="inlineStr">
        <is>
          <t>AHIRRAO SARVESH SUNIL</t>
        </is>
      </c>
      <c r="D24" s="8" t="n">
        <v>22</v>
      </c>
    </row>
    <row r="25">
      <c r="A25" s="14" t="inlineStr">
        <is>
          <t>23611780185</t>
        </is>
      </c>
      <c r="B25" s="14" t="inlineStr">
        <is>
          <t>15</t>
        </is>
      </c>
      <c r="C25" s="26" t="inlineStr">
        <is>
          <t>SHEJOLE ANSHU SUNIL</t>
        </is>
      </c>
      <c r="D25" s="8" t="n">
        <v>23</v>
      </c>
    </row>
    <row r="26">
      <c r="A26" s="14" t="inlineStr">
        <is>
          <t>23611780186</t>
        </is>
      </c>
      <c r="B26" s="14" t="inlineStr">
        <is>
          <t>16</t>
        </is>
      </c>
      <c r="C26" s="26" t="inlineStr">
        <is>
          <t>SHAIKH FARHEEN HUSSAIN M.</t>
        </is>
      </c>
      <c r="D26" s="8" t="n">
        <v>23</v>
      </c>
    </row>
    <row r="27">
      <c r="A27" s="14" t="inlineStr">
        <is>
          <t>23611780187</t>
        </is>
      </c>
      <c r="B27" s="14" t="inlineStr">
        <is>
          <t>17</t>
        </is>
      </c>
      <c r="C27" s="26" t="inlineStr">
        <is>
          <t>PURE SHREYAS SUBHASH</t>
        </is>
      </c>
      <c r="D27" s="8" t="n">
        <v>21</v>
      </c>
    </row>
    <row r="28">
      <c r="A28" s="14" t="inlineStr">
        <is>
          <t>23611780188</t>
        </is>
      </c>
      <c r="B28" s="14" t="inlineStr">
        <is>
          <t>18</t>
        </is>
      </c>
      <c r="C28" s="26" t="inlineStr">
        <is>
          <t>GANGURDE HEMANT HARI</t>
        </is>
      </c>
      <c r="D28" s="8" t="n">
        <v>20</v>
      </c>
    </row>
    <row r="29">
      <c r="A29" s="14" t="inlineStr">
        <is>
          <t>23611780189</t>
        </is>
      </c>
      <c r="B29" s="14" t="inlineStr">
        <is>
          <t>19</t>
        </is>
      </c>
      <c r="C29" s="26" t="inlineStr">
        <is>
          <t>KOR LOKESH SATISH</t>
        </is>
      </c>
      <c r="D29" s="8" t="n">
        <v>20</v>
      </c>
    </row>
    <row r="30">
      <c r="A30" s="14" t="inlineStr">
        <is>
          <t>23611780190</t>
        </is>
      </c>
      <c r="B30" s="14" t="inlineStr">
        <is>
          <t>20</t>
        </is>
      </c>
      <c r="C30" s="26" t="inlineStr">
        <is>
          <t>DEORE VAISHNAVI DILIP</t>
        </is>
      </c>
      <c r="D30" s="8" t="n">
        <v>21</v>
      </c>
    </row>
    <row r="31">
      <c r="A31" s="14" t="inlineStr">
        <is>
          <t>23611780191</t>
        </is>
      </c>
      <c r="B31" s="14" t="inlineStr">
        <is>
          <t>21</t>
        </is>
      </c>
      <c r="C31" s="26" t="inlineStr">
        <is>
          <t>MAHAJAN RADHIKA KANTILAL</t>
        </is>
      </c>
      <c r="D31" s="8" t="n">
        <v>21</v>
      </c>
    </row>
    <row r="32">
      <c r="A32" s="14" t="inlineStr">
        <is>
          <t>23611780192</t>
        </is>
      </c>
      <c r="B32" s="14" t="inlineStr">
        <is>
          <t>22</t>
        </is>
      </c>
      <c r="C32" s="26" t="inlineStr">
        <is>
          <t>DESHMANE PURVA SANTOSH</t>
        </is>
      </c>
      <c r="D32" s="8" t="n">
        <v>22</v>
      </c>
    </row>
    <row r="33">
      <c r="A33" s="14" t="inlineStr">
        <is>
          <t>23611780193</t>
        </is>
      </c>
      <c r="B33" s="14" t="inlineStr">
        <is>
          <t>23</t>
        </is>
      </c>
      <c r="C33" s="26" t="inlineStr">
        <is>
          <t>CHITTE GRISHMA RAVINDRA</t>
        </is>
      </c>
      <c r="D33" s="8" t="n">
        <v>23</v>
      </c>
    </row>
    <row r="34">
      <c r="A34" s="14" t="inlineStr">
        <is>
          <t>23611780194</t>
        </is>
      </c>
      <c r="B34" s="14" t="inlineStr">
        <is>
          <t>24</t>
        </is>
      </c>
      <c r="C34" s="26" t="inlineStr">
        <is>
          <t>JADHAV SHUBHAM T.</t>
        </is>
      </c>
      <c r="D34" s="8" t="n">
        <v>19</v>
      </c>
    </row>
    <row r="35">
      <c r="A35" s="14" t="inlineStr">
        <is>
          <t>23611780195</t>
        </is>
      </c>
      <c r="B35" s="14" t="inlineStr">
        <is>
          <t>25</t>
        </is>
      </c>
      <c r="C35" s="26" t="inlineStr">
        <is>
          <t>PAWAR KARANSING J.</t>
        </is>
      </c>
      <c r="D35" s="8" t="n">
        <v>20</v>
      </c>
    </row>
    <row r="36">
      <c r="A36" s="14" t="inlineStr">
        <is>
          <t>23611780196</t>
        </is>
      </c>
      <c r="B36" s="14" t="inlineStr">
        <is>
          <t>26</t>
        </is>
      </c>
      <c r="C36" s="26" t="inlineStr">
        <is>
          <t>GADHARI KIRTI DATTU</t>
        </is>
      </c>
      <c r="D36" s="8" t="n">
        <v>20</v>
      </c>
    </row>
    <row r="37">
      <c r="A37" s="14" t="inlineStr">
        <is>
          <t>23611780197</t>
        </is>
      </c>
      <c r="B37" s="14" t="inlineStr">
        <is>
          <t>27</t>
        </is>
      </c>
      <c r="C37" s="26" t="inlineStr">
        <is>
          <t>MORE ADITYA SANJAY</t>
        </is>
      </c>
      <c r="D37" s="8" t="n">
        <v>20</v>
      </c>
    </row>
    <row r="38">
      <c r="A38" s="14" t="inlineStr">
        <is>
          <t>23611780198</t>
        </is>
      </c>
      <c r="B38" s="14" t="inlineStr">
        <is>
          <t>28</t>
        </is>
      </c>
      <c r="C38" s="26" t="inlineStr">
        <is>
          <t>DHIVARE BHAVESH GAUTAM</t>
        </is>
      </c>
      <c r="D38" s="8" t="n">
        <v>20</v>
      </c>
    </row>
    <row r="39">
      <c r="A39" s="14" t="inlineStr">
        <is>
          <t>23611780199</t>
        </is>
      </c>
      <c r="B39" s="14" t="inlineStr">
        <is>
          <t>29</t>
        </is>
      </c>
      <c r="C39" s="26" t="inlineStr">
        <is>
          <t>SAMUDRE PRATIK RAJENDRA</t>
        </is>
      </c>
      <c r="D39" s="8" t="n">
        <v>18</v>
      </c>
    </row>
    <row r="40">
      <c r="A40" s="14" t="inlineStr">
        <is>
          <t>23611780200</t>
        </is>
      </c>
      <c r="B40" s="14" t="inlineStr">
        <is>
          <t>30</t>
        </is>
      </c>
      <c r="C40" s="26" t="inlineStr">
        <is>
          <t>AHIRRAO MANASWI ANIL</t>
        </is>
      </c>
      <c r="D40" s="8" t="n">
        <v>20</v>
      </c>
    </row>
    <row r="41">
      <c r="A41" s="14" t="inlineStr">
        <is>
          <t>23611780201</t>
        </is>
      </c>
      <c r="B41" s="14" t="inlineStr">
        <is>
          <t>31</t>
        </is>
      </c>
      <c r="C41" s="26" t="inlineStr">
        <is>
          <t>MORE SWAPNIL SATISH</t>
        </is>
      </c>
      <c r="D41" s="8" t="n">
        <v>20</v>
      </c>
    </row>
    <row r="42">
      <c r="A42" s="14" t="inlineStr">
        <is>
          <t>23611780202</t>
        </is>
      </c>
      <c r="B42" s="14" t="inlineStr">
        <is>
          <t>32</t>
        </is>
      </c>
      <c r="C42" s="26" t="inlineStr">
        <is>
          <t>RAUTMALE CHETAN SURESH</t>
        </is>
      </c>
      <c r="D42" s="8" t="n">
        <v>20</v>
      </c>
    </row>
    <row r="43">
      <c r="A43" s="14" t="inlineStr">
        <is>
          <t>23611780203</t>
        </is>
      </c>
      <c r="B43" s="14" t="inlineStr">
        <is>
          <t>33</t>
        </is>
      </c>
      <c r="C43" s="26" t="inlineStr">
        <is>
          <t>SALVE SOHAM GAJANAN</t>
        </is>
      </c>
      <c r="D43" s="8" t="n">
        <v>20</v>
      </c>
    </row>
    <row r="44">
      <c r="A44" s="14" t="inlineStr">
        <is>
          <t>23611780204</t>
        </is>
      </c>
      <c r="B44" s="14" t="inlineStr">
        <is>
          <t>34</t>
        </is>
      </c>
      <c r="C44" s="26" t="inlineStr">
        <is>
          <t>GHODSARE ROSHAN ARUN</t>
        </is>
      </c>
      <c r="D44" s="8" t="n">
        <v>20</v>
      </c>
    </row>
    <row r="45">
      <c r="A45" s="14" t="inlineStr">
        <is>
          <t>23611780205</t>
        </is>
      </c>
      <c r="B45" s="14" t="inlineStr">
        <is>
          <t>35</t>
        </is>
      </c>
      <c r="C45" s="26" t="inlineStr">
        <is>
          <t>AHIRE CHARUDATTA SUBHASH</t>
        </is>
      </c>
      <c r="D45" s="8" t="n">
        <v>20</v>
      </c>
    </row>
    <row r="46">
      <c r="A46" s="14" t="inlineStr">
        <is>
          <t>23611780206</t>
        </is>
      </c>
      <c r="B46" s="14" t="inlineStr">
        <is>
          <t>36</t>
        </is>
      </c>
      <c r="C46" s="26" t="inlineStr">
        <is>
          <t>BANKAR VISHAKHA RANJEET</t>
        </is>
      </c>
      <c r="D46" s="8" t="n">
        <v>21</v>
      </c>
    </row>
    <row r="47">
      <c r="A47" s="14" t="inlineStr">
        <is>
          <t>23611780207</t>
        </is>
      </c>
      <c r="B47" s="14" t="inlineStr">
        <is>
          <t>37</t>
        </is>
      </c>
      <c r="C47" s="26" t="inlineStr">
        <is>
          <t>PAWAR POOJA RESHMABAI</t>
        </is>
      </c>
      <c r="D47" s="8" t="n">
        <v>21</v>
      </c>
    </row>
    <row r="48">
      <c r="A48" s="14" t="inlineStr">
        <is>
          <t>23611780208</t>
        </is>
      </c>
      <c r="B48" s="14" t="inlineStr">
        <is>
          <t>38</t>
        </is>
      </c>
      <c r="C48" s="26" t="inlineStr">
        <is>
          <t>SAINDANE SEJAL PANKAJ</t>
        </is>
      </c>
      <c r="D48" s="8" t="n">
        <v>21</v>
      </c>
    </row>
    <row r="49">
      <c r="A49" s="14" t="inlineStr">
        <is>
          <t>23611780209</t>
        </is>
      </c>
      <c r="B49" s="14" t="inlineStr">
        <is>
          <t>39</t>
        </is>
      </c>
      <c r="C49" s="26" t="inlineStr">
        <is>
          <t>KARTULE ABHAY KALU</t>
        </is>
      </c>
      <c r="D49" s="8" t="n">
        <v>18</v>
      </c>
    </row>
    <row r="50">
      <c r="A50" s="14" t="inlineStr">
        <is>
          <t>23611780210</t>
        </is>
      </c>
      <c r="B50" s="14" t="inlineStr">
        <is>
          <t>40</t>
        </is>
      </c>
      <c r="C50" s="26" t="inlineStr">
        <is>
          <t>SAPKAL SOMESH MANOHAR</t>
        </is>
      </c>
      <c r="D50" s="8" t="n">
        <v>21</v>
      </c>
    </row>
    <row r="51">
      <c r="A51" s="14" t="inlineStr">
        <is>
          <t>23611780211</t>
        </is>
      </c>
      <c r="B51" s="14" t="inlineStr">
        <is>
          <t>41</t>
        </is>
      </c>
      <c r="C51" s="26" t="inlineStr">
        <is>
          <t>MANDWADE CHAITANYA VIJAY</t>
        </is>
      </c>
      <c r="D51" s="8" t="n">
        <v>21</v>
      </c>
    </row>
    <row r="52">
      <c r="A52" s="14" t="inlineStr">
        <is>
          <t>23611780212</t>
        </is>
      </c>
      <c r="B52" s="14" t="inlineStr">
        <is>
          <t>42</t>
        </is>
      </c>
      <c r="C52" s="26" t="inlineStr">
        <is>
          <t>SURYAWANSHI PRATIK M.</t>
        </is>
      </c>
      <c r="D52" s="8" t="n">
        <v>21</v>
      </c>
    </row>
    <row r="53">
      <c r="A53" s="14" t="inlineStr">
        <is>
          <t>23611780213</t>
        </is>
      </c>
      <c r="B53" s="14" t="inlineStr">
        <is>
          <t>43</t>
        </is>
      </c>
      <c r="C53" s="26" t="inlineStr">
        <is>
          <t>GUJARE AMBIKA SHANTARAM</t>
        </is>
      </c>
      <c r="D53" s="8" t="n">
        <v>20</v>
      </c>
    </row>
    <row r="54">
      <c r="A54" s="14" t="inlineStr">
        <is>
          <t>23611780214</t>
        </is>
      </c>
      <c r="B54" s="14" t="inlineStr">
        <is>
          <t>44</t>
        </is>
      </c>
      <c r="C54" s="26" t="inlineStr">
        <is>
          <t>KARPE PAYAL PRAVIN</t>
        </is>
      </c>
      <c r="D54" s="8" t="n">
        <v>19</v>
      </c>
    </row>
    <row r="55">
      <c r="A55" s="14" t="inlineStr">
        <is>
          <t>23611780215</t>
        </is>
      </c>
      <c r="B55" s="14" t="inlineStr">
        <is>
          <t>45</t>
        </is>
      </c>
      <c r="C55" s="26" t="inlineStr">
        <is>
          <t>AHER ANIKET LAXMAN</t>
        </is>
      </c>
      <c r="D55" s="8" t="n">
        <v>18</v>
      </c>
    </row>
    <row r="56">
      <c r="A56" s="14" t="inlineStr">
        <is>
          <t>23611780216</t>
        </is>
      </c>
      <c r="B56" s="14" t="inlineStr">
        <is>
          <t>46</t>
        </is>
      </c>
      <c r="C56" s="26" t="inlineStr">
        <is>
          <t>PATIL ATHARVA RAJENDRA</t>
        </is>
      </c>
      <c r="D56" s="8" t="n">
        <v>20</v>
      </c>
    </row>
    <row r="57">
      <c r="A57" s="14" t="inlineStr">
        <is>
          <t>23611780217</t>
        </is>
      </c>
      <c r="B57" s="14" t="inlineStr">
        <is>
          <t>47</t>
        </is>
      </c>
      <c r="C57" s="26" t="inlineStr">
        <is>
          <t>RAUNDAL VRUSHABH UMESH</t>
        </is>
      </c>
      <c r="D57" s="8" t="n">
        <v>20</v>
      </c>
    </row>
    <row r="58">
      <c r="A58" s="14" t="inlineStr">
        <is>
          <t>23611780218</t>
        </is>
      </c>
      <c r="B58" s="14" t="inlineStr">
        <is>
          <t>48</t>
        </is>
      </c>
      <c r="C58" s="26" t="inlineStr">
        <is>
          <t>PATIL GAYATRI NAMDEO</t>
        </is>
      </c>
      <c r="D58" s="8" t="n">
        <v>16</v>
      </c>
    </row>
    <row r="59">
      <c r="A59" s="14" t="inlineStr">
        <is>
          <t>23611780219</t>
        </is>
      </c>
      <c r="B59" s="14" t="inlineStr">
        <is>
          <t>49</t>
        </is>
      </c>
      <c r="C59" s="26" t="inlineStr">
        <is>
          <t>SHELAR SWARUP SADASHIV</t>
        </is>
      </c>
      <c r="D59" s="8" t="n">
        <v>20</v>
      </c>
    </row>
    <row r="60">
      <c r="A60" s="14" t="inlineStr">
        <is>
          <t>23611780220</t>
        </is>
      </c>
      <c r="B60" s="14" t="inlineStr">
        <is>
          <t>50</t>
        </is>
      </c>
      <c r="C60" s="26" t="inlineStr">
        <is>
          <t>BHAGWAT SANCHIT VIJAY</t>
        </is>
      </c>
      <c r="D60" s="8" t="n">
        <v>20</v>
      </c>
    </row>
    <row r="61">
      <c r="A61" s="14" t="inlineStr">
        <is>
          <t>23611780221</t>
        </is>
      </c>
      <c r="B61" s="14" t="inlineStr">
        <is>
          <t>51</t>
        </is>
      </c>
      <c r="C61" s="26" t="inlineStr">
        <is>
          <t>MALI ARYAN MANOJ</t>
        </is>
      </c>
      <c r="D61" s="8" t="n">
        <v>17</v>
      </c>
    </row>
    <row r="62">
      <c r="A62" s="14" t="inlineStr">
        <is>
          <t>23611780222</t>
        </is>
      </c>
      <c r="B62" s="14" t="inlineStr">
        <is>
          <t>52</t>
        </is>
      </c>
      <c r="C62" s="26" t="inlineStr">
        <is>
          <t>PATIL SAKSHI PRAMOD</t>
        </is>
      </c>
      <c r="D62" s="8" t="n">
        <v>20</v>
      </c>
    </row>
    <row r="63">
      <c r="A63" s="14" t="inlineStr">
        <is>
          <t>23611780223</t>
        </is>
      </c>
      <c r="B63" s="14" t="inlineStr">
        <is>
          <t>53</t>
        </is>
      </c>
      <c r="C63" s="26" t="inlineStr">
        <is>
          <t>WAGH ARYAN DINESH</t>
        </is>
      </c>
      <c r="D63" s="8" t="n">
        <v>20</v>
      </c>
    </row>
    <row r="64">
      <c r="A64" s="14" t="inlineStr">
        <is>
          <t>23611780224</t>
        </is>
      </c>
      <c r="B64" s="14" t="inlineStr">
        <is>
          <t>54</t>
        </is>
      </c>
      <c r="C64" s="26" t="inlineStr">
        <is>
          <t>MISHRA PUSHKAR</t>
        </is>
      </c>
      <c r="D64" s="8" t="n">
        <v>18</v>
      </c>
    </row>
    <row r="65">
      <c r="A65" s="14" t="inlineStr">
        <is>
          <t>23611780225</t>
        </is>
      </c>
      <c r="B65" s="14" t="inlineStr">
        <is>
          <t>55</t>
        </is>
      </c>
      <c r="C65" s="26" t="inlineStr">
        <is>
          <t>BIDVE MOHIT SUBODH</t>
        </is>
      </c>
      <c r="D65" s="8" t="n">
        <v>17</v>
      </c>
    </row>
    <row r="66">
      <c r="A66" s="14" t="inlineStr">
        <is>
          <t>23611780227</t>
        </is>
      </c>
      <c r="B66" s="14" t="inlineStr">
        <is>
          <t>56</t>
        </is>
      </c>
      <c r="C66" s="26" t="inlineStr">
        <is>
          <t>PANDIT JAYTESH J.</t>
        </is>
      </c>
      <c r="D66" s="8" t="n">
        <v>20</v>
      </c>
    </row>
    <row r="67">
      <c r="A67" s="14" t="inlineStr">
        <is>
          <t>23611780228</t>
        </is>
      </c>
      <c r="B67" s="14" t="inlineStr">
        <is>
          <t>57</t>
        </is>
      </c>
      <c r="C67" s="26" t="inlineStr">
        <is>
          <t>PATEL MAHI URVISH</t>
        </is>
      </c>
      <c r="D67" s="8" t="n">
        <v>20</v>
      </c>
    </row>
    <row r="68">
      <c r="A68" s="14" t="inlineStr">
        <is>
          <t>23611780230</t>
        </is>
      </c>
      <c r="B68" s="14" t="inlineStr">
        <is>
          <t>58</t>
        </is>
      </c>
      <c r="C68" s="26" t="inlineStr">
        <is>
          <t>PATIL VRUSHALI VINOD</t>
        </is>
      </c>
      <c r="D68" s="8" t="n">
        <v>18</v>
      </c>
    </row>
    <row r="69">
      <c r="A69" s="14" t="inlineStr">
        <is>
          <t>23611780231</t>
        </is>
      </c>
      <c r="B69" s="14" t="inlineStr">
        <is>
          <t>59</t>
        </is>
      </c>
      <c r="C69" s="26" t="inlineStr">
        <is>
          <t>SONAWANE SOHAM SOPAN</t>
        </is>
      </c>
      <c r="D69" s="8" t="n">
        <v>20</v>
      </c>
    </row>
    <row r="70">
      <c r="A70" s="14" t="inlineStr">
        <is>
          <t>23611780232</t>
        </is>
      </c>
      <c r="B70" s="14" t="inlineStr">
        <is>
          <t>60</t>
        </is>
      </c>
      <c r="C70" s="26" t="inlineStr">
        <is>
          <t>DESALE GAURI RAOSAHEB</t>
        </is>
      </c>
      <c r="D70" s="8" t="n">
        <v>20</v>
      </c>
    </row>
    <row r="71">
      <c r="A71" s="14" t="inlineStr">
        <is>
          <t>23611780233</t>
        </is>
      </c>
      <c r="B71" s="14" t="inlineStr">
        <is>
          <t>61</t>
        </is>
      </c>
      <c r="C71" s="26" t="inlineStr">
        <is>
          <t>BARHATE PRANJAL MADHAV</t>
        </is>
      </c>
      <c r="D71" s="8" t="n">
        <v>18</v>
      </c>
    </row>
    <row r="72">
      <c r="A72" s="14" t="inlineStr">
        <is>
          <t>23611780234</t>
        </is>
      </c>
      <c r="B72" s="14" t="inlineStr">
        <is>
          <t>62</t>
        </is>
      </c>
      <c r="C72" s="26" t="inlineStr">
        <is>
          <t>KANADE SARTHAK SUSHIL</t>
        </is>
      </c>
      <c r="D72" s="8" t="n">
        <v>21</v>
      </c>
    </row>
    <row r="73">
      <c r="A73" s="14" t="inlineStr">
        <is>
          <t>23611780235</t>
        </is>
      </c>
      <c r="B73" s="14" t="inlineStr">
        <is>
          <t>63</t>
        </is>
      </c>
      <c r="C73" s="26" t="inlineStr">
        <is>
          <t>NIGAL KHUSHI DNYANESHWAR</t>
        </is>
      </c>
      <c r="D73" s="8" t="n">
        <v>23</v>
      </c>
    </row>
    <row r="74">
      <c r="A74" s="14" t="inlineStr">
        <is>
          <t>23611780236</t>
        </is>
      </c>
      <c r="B74" s="14" t="inlineStr">
        <is>
          <t>64</t>
        </is>
      </c>
      <c r="C74" s="26" t="inlineStr">
        <is>
          <t>GALANKAR ARPITA SANJAY</t>
        </is>
      </c>
      <c r="D74" s="8" t="n">
        <v>23</v>
      </c>
    </row>
    <row r="75">
      <c r="A75" s="14" t="inlineStr">
        <is>
          <t>23611780237</t>
        </is>
      </c>
      <c r="B75" s="14" t="inlineStr">
        <is>
          <t>65</t>
        </is>
      </c>
      <c r="C75" s="26" t="inlineStr">
        <is>
          <t>DEORE GAYATRI RAMDAS</t>
        </is>
      </c>
      <c r="D75" s="8" t="n">
        <v>22</v>
      </c>
    </row>
    <row r="76">
      <c r="A76" s="14" t="inlineStr">
        <is>
          <t>24611780001</t>
        </is>
      </c>
      <c r="B76" s="14" t="inlineStr">
        <is>
          <t>66</t>
        </is>
      </c>
      <c r="C76" s="26" t="inlineStr">
        <is>
          <t>THAKARE KOMAL ATAMARAM</t>
        </is>
      </c>
      <c r="D76" s="8" t="n">
        <v>20</v>
      </c>
    </row>
    <row r="77">
      <c r="A77" s="14" t="inlineStr">
        <is>
          <t>24611780002</t>
        </is>
      </c>
      <c r="B77" s="14" t="inlineStr">
        <is>
          <t>67</t>
        </is>
      </c>
      <c r="C77" s="26" t="inlineStr">
        <is>
          <t>KHARE ASHLESHA YOGESH</t>
        </is>
      </c>
      <c r="D77" s="8" t="n">
        <v>18</v>
      </c>
    </row>
    <row r="78">
      <c r="A78" s="14" t="inlineStr">
        <is>
          <t>24611780003</t>
        </is>
      </c>
      <c r="B78" s="14" t="inlineStr">
        <is>
          <t>68</t>
        </is>
      </c>
      <c r="C78" s="26" t="inlineStr">
        <is>
          <t>DAWARE SAKSHI HARISHCHANDRA</t>
        </is>
      </c>
      <c r="D78" s="8" t="n">
        <v>19</v>
      </c>
    </row>
    <row r="79">
      <c r="A79" s="14" t="inlineStr">
        <is>
          <t>24611780004</t>
        </is>
      </c>
      <c r="B79" s="14" t="inlineStr">
        <is>
          <t>69</t>
        </is>
      </c>
      <c r="C79" s="26" t="inlineStr">
        <is>
          <t>JADHAV YASHSWINI RAJENDRA</t>
        </is>
      </c>
      <c r="D79" s="8" t="n">
        <v>20</v>
      </c>
    </row>
    <row r="80">
      <c r="A80" s="14" t="inlineStr">
        <is>
          <t>24611780005</t>
        </is>
      </c>
      <c r="B80" s="14" t="inlineStr">
        <is>
          <t>70</t>
        </is>
      </c>
      <c r="C80" s="26" t="inlineStr">
        <is>
          <t>SONAWANE ANUSHKA PANDIT</t>
        </is>
      </c>
      <c r="D80" s="8" t="n">
        <v>20</v>
      </c>
    </row>
    <row r="81">
      <c r="A81" s="14" t="inlineStr">
        <is>
          <t>24611780006</t>
        </is>
      </c>
      <c r="B81" s="14" t="inlineStr">
        <is>
          <t>71</t>
        </is>
      </c>
      <c r="C81" s="26" t="inlineStr">
        <is>
          <t>WARKE SAHIL GUNWANT</t>
        </is>
      </c>
      <c r="D81" s="8" t="n">
        <v>18</v>
      </c>
    </row>
    <row r="82">
      <c r="A82" s="14" t="inlineStr">
        <is>
          <t>24611780007</t>
        </is>
      </c>
      <c r="B82" s="14" t="inlineStr">
        <is>
          <t>72</t>
        </is>
      </c>
      <c r="C82" s="26" t="inlineStr">
        <is>
          <t>PAGAR DNYANESHWARI PADMAKAR</t>
        </is>
      </c>
      <c r="D82" s="8" t="n">
        <v>20</v>
      </c>
    </row>
    <row r="83">
      <c r="A83" s="27" t="inlineStr">
        <is>
          <t>Average</t>
        </is>
      </c>
      <c r="D83" s="28" t="n">
        <v>20.21</v>
      </c>
    </row>
    <row r="84">
      <c r="A84" s="27" t="inlineStr">
        <is>
          <t>Total Students Appeared</t>
        </is>
      </c>
      <c r="D84" s="28" t="n">
        <v>72</v>
      </c>
    </row>
    <row r="85">
      <c r="A85" s="27" t="inlineStr">
        <is>
          <t>Absent</t>
        </is>
      </c>
      <c r="D85" s="28" t="n">
        <v>0</v>
      </c>
    </row>
    <row r="86">
      <c r="A86" s="27" t="inlineStr">
        <is>
          <t>Max Marks</t>
        </is>
      </c>
      <c r="D86" s="28" t="n">
        <v>25</v>
      </c>
    </row>
    <row r="87">
      <c r="A87" s="27" t="inlineStr">
        <is>
          <t>CO Attainment</t>
        </is>
      </c>
      <c r="D87" s="28" t="n">
        <v>1</v>
      </c>
    </row>
  </sheetData>
  <mergeCells count="21">
    <mergeCell ref="C3:M3"/>
    <mergeCell ref="A84:C84"/>
    <mergeCell ref="C9:K9"/>
    <mergeCell ref="A1:B3"/>
    <mergeCell ref="A6:B6"/>
    <mergeCell ref="A86:C86"/>
    <mergeCell ref="A7:B7"/>
    <mergeCell ref="A85:C85"/>
    <mergeCell ref="A87:C87"/>
    <mergeCell ref="C1:M1"/>
    <mergeCell ref="C8:K8"/>
    <mergeCell ref="C7:K7"/>
    <mergeCell ref="A5:B5"/>
    <mergeCell ref="C2:M2"/>
    <mergeCell ref="A83:C83"/>
    <mergeCell ref="A8:B8"/>
    <mergeCell ref="C6:K6"/>
    <mergeCell ref="A4:B4"/>
    <mergeCell ref="C5:K5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9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10" customWidth="1" min="4" max="4"/>
  </cols>
  <sheetData>
    <row r="1">
      <c r="A1" s="1" t="n"/>
      <c r="C1" s="2" t="inlineStr">
        <is>
          <t>Sandip Polytechnic, Nashik</t>
        </is>
      </c>
      <c r="N1" s="3" t="inlineStr">
        <is>
          <t>CES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CES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0">
      <c r="A10" s="19" t="inlineStr">
        <is>
          <t>ENROLLMENT NO.</t>
        </is>
      </c>
      <c r="B10" s="19" t="inlineStr">
        <is>
          <t>Roll no.</t>
        </is>
      </c>
      <c r="C10" s="19" t="inlineStr">
        <is>
          <t>Name of Student</t>
        </is>
      </c>
      <c r="D10" s="7" t="inlineStr">
        <is>
          <t>Total</t>
        </is>
      </c>
    </row>
    <row r="11">
      <c r="A11" s="14" t="inlineStr">
        <is>
          <t>23611780171</t>
        </is>
      </c>
      <c r="B11" s="14" t="inlineStr">
        <is>
          <t>1</t>
        </is>
      </c>
      <c r="C11" s="26" t="inlineStr">
        <is>
          <t>MORE LALIT DILIP</t>
        </is>
      </c>
      <c r="D11" s="8" t="inlineStr">
        <is>
          <t>-</t>
        </is>
      </c>
    </row>
    <row r="12">
      <c r="A12" s="14" t="inlineStr">
        <is>
          <t>23611780172</t>
        </is>
      </c>
      <c r="B12" s="14" t="inlineStr">
        <is>
          <t>2</t>
        </is>
      </c>
      <c r="C12" s="26" t="inlineStr">
        <is>
          <t>JAGZAP ANIL NANA</t>
        </is>
      </c>
      <c r="D12" s="8" t="inlineStr">
        <is>
          <t>-</t>
        </is>
      </c>
    </row>
    <row r="13">
      <c r="A13" s="14" t="inlineStr">
        <is>
          <t>23611780173</t>
        </is>
      </c>
      <c r="B13" s="14" t="inlineStr">
        <is>
          <t>3</t>
        </is>
      </c>
      <c r="C13" s="26" t="inlineStr">
        <is>
          <t>NIKAM NIRANJAN SATISH</t>
        </is>
      </c>
      <c r="D13" s="8" t="inlineStr">
        <is>
          <t>-</t>
        </is>
      </c>
    </row>
    <row r="14">
      <c r="A14" s="14" t="inlineStr">
        <is>
          <t>23611780174</t>
        </is>
      </c>
      <c r="B14" s="14" t="inlineStr">
        <is>
          <t>4</t>
        </is>
      </c>
      <c r="C14" s="26" t="inlineStr">
        <is>
          <t>BIDAIT VAIBHAV BALASAHEB</t>
        </is>
      </c>
      <c r="D14" s="8" t="inlineStr">
        <is>
          <t>-</t>
        </is>
      </c>
    </row>
    <row r="15">
      <c r="A15" s="14" t="inlineStr">
        <is>
          <t>23611780175</t>
        </is>
      </c>
      <c r="B15" s="14" t="inlineStr">
        <is>
          <t>5</t>
        </is>
      </c>
      <c r="C15" s="26" t="inlineStr">
        <is>
          <t>BHABAD SANIKA JAGADISH</t>
        </is>
      </c>
      <c r="D15" s="8" t="inlineStr">
        <is>
          <t>-</t>
        </is>
      </c>
    </row>
    <row r="16">
      <c r="A16" s="14" t="inlineStr">
        <is>
          <t>23611780176</t>
        </is>
      </c>
      <c r="B16" s="14" t="inlineStr">
        <is>
          <t>6</t>
        </is>
      </c>
      <c r="C16" s="26" t="inlineStr">
        <is>
          <t>JADHAV RAHUL DEVENDRA</t>
        </is>
      </c>
      <c r="D16" s="8" t="inlineStr">
        <is>
          <t>-</t>
        </is>
      </c>
    </row>
    <row r="17">
      <c r="A17" s="14" t="inlineStr">
        <is>
          <t>23611780177</t>
        </is>
      </c>
      <c r="B17" s="14" t="inlineStr">
        <is>
          <t>7</t>
        </is>
      </c>
      <c r="C17" s="26" t="inlineStr">
        <is>
          <t>SURVE PARTH YOGESH</t>
        </is>
      </c>
      <c r="D17" s="8" t="inlineStr">
        <is>
          <t>-</t>
        </is>
      </c>
    </row>
    <row r="18">
      <c r="A18" s="14" t="inlineStr">
        <is>
          <t>23611780178</t>
        </is>
      </c>
      <c r="B18" s="14" t="inlineStr">
        <is>
          <t>8</t>
        </is>
      </c>
      <c r="C18" s="26" t="inlineStr">
        <is>
          <t>HANDE SALONI PRABHAKAR</t>
        </is>
      </c>
      <c r="D18" s="8" t="inlineStr">
        <is>
          <t>-</t>
        </is>
      </c>
    </row>
    <row r="19">
      <c r="A19" s="14" t="inlineStr">
        <is>
          <t>23611780179</t>
        </is>
      </c>
      <c r="B19" s="14" t="inlineStr">
        <is>
          <t>9</t>
        </is>
      </c>
      <c r="C19" s="26" t="inlineStr">
        <is>
          <t>PINGALKAR VAISHNAVI VIJAY</t>
        </is>
      </c>
      <c r="D19" s="8" t="inlineStr">
        <is>
          <t>-</t>
        </is>
      </c>
    </row>
    <row r="20">
      <c r="A20" s="14" t="inlineStr">
        <is>
          <t>23611780180</t>
        </is>
      </c>
      <c r="B20" s="14" t="inlineStr">
        <is>
          <t>10</t>
        </is>
      </c>
      <c r="C20" s="26" t="inlineStr">
        <is>
          <t>DEORE SURAJ RAJENDRA</t>
        </is>
      </c>
      <c r="D20" s="8" t="inlineStr">
        <is>
          <t>-</t>
        </is>
      </c>
    </row>
    <row r="21">
      <c r="A21" s="14" t="inlineStr">
        <is>
          <t>23611780181</t>
        </is>
      </c>
      <c r="B21" s="14" t="inlineStr">
        <is>
          <t>11</t>
        </is>
      </c>
      <c r="C21" s="26" t="inlineStr">
        <is>
          <t>NETKAR YASH DIGAMBAR</t>
        </is>
      </c>
      <c r="D21" s="8" t="inlineStr">
        <is>
          <t>-</t>
        </is>
      </c>
    </row>
    <row r="22">
      <c r="A22" s="14" t="inlineStr">
        <is>
          <t>23611780182</t>
        </is>
      </c>
      <c r="B22" s="14" t="inlineStr">
        <is>
          <t>12</t>
        </is>
      </c>
      <c r="C22" s="26" t="inlineStr">
        <is>
          <t>MINDE ASHUTOSH SUBHASH</t>
        </is>
      </c>
      <c r="D22" s="8" t="inlineStr">
        <is>
          <t>-</t>
        </is>
      </c>
    </row>
    <row r="23">
      <c r="A23" s="14" t="inlineStr">
        <is>
          <t>23611780183</t>
        </is>
      </c>
      <c r="B23" s="14" t="inlineStr">
        <is>
          <t>13</t>
        </is>
      </c>
      <c r="C23" s="26" t="inlineStr">
        <is>
          <t>CHAUDHARI CHIRAG SANJAY</t>
        </is>
      </c>
      <c r="D23" s="8" t="inlineStr">
        <is>
          <t>-</t>
        </is>
      </c>
    </row>
    <row r="24">
      <c r="A24" s="14" t="inlineStr">
        <is>
          <t>23611780184</t>
        </is>
      </c>
      <c r="B24" s="14" t="inlineStr">
        <is>
          <t>14</t>
        </is>
      </c>
      <c r="C24" s="26" t="inlineStr">
        <is>
          <t>AHIRRAO SARVESH SUNIL</t>
        </is>
      </c>
      <c r="D24" s="8" t="inlineStr">
        <is>
          <t>-</t>
        </is>
      </c>
    </row>
    <row r="25">
      <c r="A25" s="14" t="inlineStr">
        <is>
          <t>23611780185</t>
        </is>
      </c>
      <c r="B25" s="14" t="inlineStr">
        <is>
          <t>15</t>
        </is>
      </c>
      <c r="C25" s="26" t="inlineStr">
        <is>
          <t>SHEJOLE ANSHU SUNIL</t>
        </is>
      </c>
      <c r="D25" s="8" t="inlineStr">
        <is>
          <t>-</t>
        </is>
      </c>
    </row>
    <row r="26">
      <c r="A26" s="14" t="inlineStr">
        <is>
          <t>23611780186</t>
        </is>
      </c>
      <c r="B26" s="14" t="inlineStr">
        <is>
          <t>16</t>
        </is>
      </c>
      <c r="C26" s="26" t="inlineStr">
        <is>
          <t>SHAIKH FARHEEN HUSSAIN M.</t>
        </is>
      </c>
      <c r="D26" s="8" t="inlineStr">
        <is>
          <t>-</t>
        </is>
      </c>
    </row>
    <row r="27">
      <c r="A27" s="14" t="inlineStr">
        <is>
          <t>23611780187</t>
        </is>
      </c>
      <c r="B27" s="14" t="inlineStr">
        <is>
          <t>17</t>
        </is>
      </c>
      <c r="C27" s="26" t="inlineStr">
        <is>
          <t>PURE SHREYAS SUBHASH</t>
        </is>
      </c>
      <c r="D27" s="8" t="inlineStr">
        <is>
          <t>-</t>
        </is>
      </c>
    </row>
    <row r="28">
      <c r="A28" s="14" t="inlineStr">
        <is>
          <t>23611780188</t>
        </is>
      </c>
      <c r="B28" s="14" t="inlineStr">
        <is>
          <t>18</t>
        </is>
      </c>
      <c r="C28" s="26" t="inlineStr">
        <is>
          <t>GANGURDE HEMANT HARI</t>
        </is>
      </c>
      <c r="D28" s="8" t="inlineStr">
        <is>
          <t>-</t>
        </is>
      </c>
    </row>
    <row r="29">
      <c r="A29" s="14" t="inlineStr">
        <is>
          <t>23611780189</t>
        </is>
      </c>
      <c r="B29" s="14" t="inlineStr">
        <is>
          <t>19</t>
        </is>
      </c>
      <c r="C29" s="26" t="inlineStr">
        <is>
          <t>KOR LOKESH SATISH</t>
        </is>
      </c>
      <c r="D29" s="8" t="inlineStr">
        <is>
          <t>-</t>
        </is>
      </c>
    </row>
    <row r="30">
      <c r="A30" s="14" t="inlineStr">
        <is>
          <t>23611780190</t>
        </is>
      </c>
      <c r="B30" s="14" t="inlineStr">
        <is>
          <t>20</t>
        </is>
      </c>
      <c r="C30" s="26" t="inlineStr">
        <is>
          <t>DEORE VAISHNAVI DILIP</t>
        </is>
      </c>
      <c r="D30" s="8" t="inlineStr">
        <is>
          <t>-</t>
        </is>
      </c>
    </row>
    <row r="31">
      <c r="A31" s="14" t="inlineStr">
        <is>
          <t>23611780191</t>
        </is>
      </c>
      <c r="B31" s="14" t="inlineStr">
        <is>
          <t>21</t>
        </is>
      </c>
      <c r="C31" s="26" t="inlineStr">
        <is>
          <t>MAHAJAN RADHIKA KANTILAL</t>
        </is>
      </c>
      <c r="D31" s="8" t="inlineStr">
        <is>
          <t>-</t>
        </is>
      </c>
    </row>
    <row r="32">
      <c r="A32" s="14" t="inlineStr">
        <is>
          <t>23611780192</t>
        </is>
      </c>
      <c r="B32" s="14" t="inlineStr">
        <is>
          <t>22</t>
        </is>
      </c>
      <c r="C32" s="26" t="inlineStr">
        <is>
          <t>DESHMANE PURVA SANTOSH</t>
        </is>
      </c>
      <c r="D32" s="8" t="inlineStr">
        <is>
          <t>-</t>
        </is>
      </c>
    </row>
    <row r="33">
      <c r="A33" s="14" t="inlineStr">
        <is>
          <t>23611780193</t>
        </is>
      </c>
      <c r="B33" s="14" t="inlineStr">
        <is>
          <t>23</t>
        </is>
      </c>
      <c r="C33" s="26" t="inlineStr">
        <is>
          <t>CHITTE GRISHMA RAVINDRA</t>
        </is>
      </c>
      <c r="D33" s="8" t="inlineStr">
        <is>
          <t>-</t>
        </is>
      </c>
    </row>
    <row r="34">
      <c r="A34" s="14" t="inlineStr">
        <is>
          <t>23611780194</t>
        </is>
      </c>
      <c r="B34" s="14" t="inlineStr">
        <is>
          <t>24</t>
        </is>
      </c>
      <c r="C34" s="26" t="inlineStr">
        <is>
          <t>JADHAV SHUBHAM T.</t>
        </is>
      </c>
      <c r="D34" s="8" t="inlineStr">
        <is>
          <t>-</t>
        </is>
      </c>
    </row>
    <row r="35">
      <c r="A35" s="14" t="inlineStr">
        <is>
          <t>23611780195</t>
        </is>
      </c>
      <c r="B35" s="14" t="inlineStr">
        <is>
          <t>25</t>
        </is>
      </c>
      <c r="C35" s="26" t="inlineStr">
        <is>
          <t>PAWAR KARANSING J.</t>
        </is>
      </c>
      <c r="D35" s="8" t="inlineStr">
        <is>
          <t>-</t>
        </is>
      </c>
    </row>
    <row r="36">
      <c r="A36" s="14" t="inlineStr">
        <is>
          <t>23611780196</t>
        </is>
      </c>
      <c r="B36" s="14" t="inlineStr">
        <is>
          <t>26</t>
        </is>
      </c>
      <c r="C36" s="26" t="inlineStr">
        <is>
          <t>GADHARI KIRTI DATTU</t>
        </is>
      </c>
      <c r="D36" s="8" t="inlineStr">
        <is>
          <t>-</t>
        </is>
      </c>
    </row>
    <row r="37">
      <c r="A37" s="14" t="inlineStr">
        <is>
          <t>23611780197</t>
        </is>
      </c>
      <c r="B37" s="14" t="inlineStr">
        <is>
          <t>27</t>
        </is>
      </c>
      <c r="C37" s="26" t="inlineStr">
        <is>
          <t>MORE ADITYA SANJAY</t>
        </is>
      </c>
      <c r="D37" s="8" t="inlineStr">
        <is>
          <t>-</t>
        </is>
      </c>
    </row>
    <row r="38">
      <c r="A38" s="14" t="inlineStr">
        <is>
          <t>23611780198</t>
        </is>
      </c>
      <c r="B38" s="14" t="inlineStr">
        <is>
          <t>28</t>
        </is>
      </c>
      <c r="C38" s="26" t="inlineStr">
        <is>
          <t>DHIVARE BHAVESH GAUTAM</t>
        </is>
      </c>
      <c r="D38" s="8" t="inlineStr">
        <is>
          <t>-</t>
        </is>
      </c>
    </row>
    <row r="39">
      <c r="A39" s="14" t="inlineStr">
        <is>
          <t>23611780199</t>
        </is>
      </c>
      <c r="B39" s="14" t="inlineStr">
        <is>
          <t>29</t>
        </is>
      </c>
      <c r="C39" s="26" t="inlineStr">
        <is>
          <t>SAMUDRE PRATIK RAJENDRA</t>
        </is>
      </c>
      <c r="D39" s="8" t="inlineStr">
        <is>
          <t>-</t>
        </is>
      </c>
    </row>
    <row r="40">
      <c r="A40" s="14" t="inlineStr">
        <is>
          <t>23611780200</t>
        </is>
      </c>
      <c r="B40" s="14" t="inlineStr">
        <is>
          <t>30</t>
        </is>
      </c>
      <c r="C40" s="26" t="inlineStr">
        <is>
          <t>AHIRRAO MANASWI ANIL</t>
        </is>
      </c>
      <c r="D40" s="8" t="inlineStr">
        <is>
          <t>-</t>
        </is>
      </c>
    </row>
    <row r="41">
      <c r="A41" s="14" t="inlineStr">
        <is>
          <t>23611780201</t>
        </is>
      </c>
      <c r="B41" s="14" t="inlineStr">
        <is>
          <t>31</t>
        </is>
      </c>
      <c r="C41" s="26" t="inlineStr">
        <is>
          <t>MORE SWAPNIL SATISH</t>
        </is>
      </c>
      <c r="D41" s="8" t="inlineStr">
        <is>
          <t>-</t>
        </is>
      </c>
    </row>
    <row r="42">
      <c r="A42" s="14" t="inlineStr">
        <is>
          <t>23611780202</t>
        </is>
      </c>
      <c r="B42" s="14" t="inlineStr">
        <is>
          <t>32</t>
        </is>
      </c>
      <c r="C42" s="26" t="inlineStr">
        <is>
          <t>RAUTMALE CHETAN SURESH</t>
        </is>
      </c>
      <c r="D42" s="8" t="inlineStr">
        <is>
          <t>-</t>
        </is>
      </c>
    </row>
    <row r="43">
      <c r="A43" s="14" t="inlineStr">
        <is>
          <t>23611780203</t>
        </is>
      </c>
      <c r="B43" s="14" t="inlineStr">
        <is>
          <t>33</t>
        </is>
      </c>
      <c r="C43" s="26" t="inlineStr">
        <is>
          <t>SALVE SOHAM GAJANAN</t>
        </is>
      </c>
      <c r="D43" s="8" t="inlineStr">
        <is>
          <t>-</t>
        </is>
      </c>
    </row>
    <row r="44">
      <c r="A44" s="14" t="inlineStr">
        <is>
          <t>23611780204</t>
        </is>
      </c>
      <c r="B44" s="14" t="inlineStr">
        <is>
          <t>34</t>
        </is>
      </c>
      <c r="C44" s="26" t="inlineStr">
        <is>
          <t>GHODSARE ROSHAN ARUN</t>
        </is>
      </c>
      <c r="D44" s="8" t="inlineStr">
        <is>
          <t>-</t>
        </is>
      </c>
    </row>
    <row r="45">
      <c r="A45" s="14" t="inlineStr">
        <is>
          <t>23611780205</t>
        </is>
      </c>
      <c r="B45" s="14" t="inlineStr">
        <is>
          <t>35</t>
        </is>
      </c>
      <c r="C45" s="26" t="inlineStr">
        <is>
          <t>AHIRE CHARUDATTA SUBHASH</t>
        </is>
      </c>
      <c r="D45" s="8" t="inlineStr">
        <is>
          <t>-</t>
        </is>
      </c>
    </row>
    <row r="46">
      <c r="A46" s="14" t="inlineStr">
        <is>
          <t>23611780206</t>
        </is>
      </c>
      <c r="B46" s="14" t="inlineStr">
        <is>
          <t>36</t>
        </is>
      </c>
      <c r="C46" s="26" t="inlineStr">
        <is>
          <t>BANKAR VISHAKHA RANJEET</t>
        </is>
      </c>
      <c r="D46" s="8" t="inlineStr">
        <is>
          <t>-</t>
        </is>
      </c>
    </row>
    <row r="47">
      <c r="A47" s="14" t="inlineStr">
        <is>
          <t>23611780207</t>
        </is>
      </c>
      <c r="B47" s="14" t="inlineStr">
        <is>
          <t>37</t>
        </is>
      </c>
      <c r="C47" s="26" t="inlineStr">
        <is>
          <t>PAWAR POOJA RESHMABAI</t>
        </is>
      </c>
      <c r="D47" s="8" t="inlineStr">
        <is>
          <t>-</t>
        </is>
      </c>
    </row>
    <row r="48">
      <c r="A48" s="14" t="inlineStr">
        <is>
          <t>23611780208</t>
        </is>
      </c>
      <c r="B48" s="14" t="inlineStr">
        <is>
          <t>38</t>
        </is>
      </c>
      <c r="C48" s="26" t="inlineStr">
        <is>
          <t>SAINDANE SEJAL PANKAJ</t>
        </is>
      </c>
      <c r="D48" s="8" t="inlineStr">
        <is>
          <t>-</t>
        </is>
      </c>
    </row>
    <row r="49">
      <c r="A49" s="14" t="inlineStr">
        <is>
          <t>23611780209</t>
        </is>
      </c>
      <c r="B49" s="14" t="inlineStr">
        <is>
          <t>39</t>
        </is>
      </c>
      <c r="C49" s="26" t="inlineStr">
        <is>
          <t>KARTULE ABHAY KALU</t>
        </is>
      </c>
      <c r="D49" s="8" t="inlineStr">
        <is>
          <t>-</t>
        </is>
      </c>
    </row>
    <row r="50">
      <c r="A50" s="14" t="inlineStr">
        <is>
          <t>23611780210</t>
        </is>
      </c>
      <c r="B50" s="14" t="inlineStr">
        <is>
          <t>40</t>
        </is>
      </c>
      <c r="C50" s="26" t="inlineStr">
        <is>
          <t>SAPKAL SOMESH MANOHAR</t>
        </is>
      </c>
      <c r="D50" s="8" t="inlineStr">
        <is>
          <t>-</t>
        </is>
      </c>
    </row>
    <row r="51">
      <c r="A51" s="14" t="inlineStr">
        <is>
          <t>23611780211</t>
        </is>
      </c>
      <c r="B51" s="14" t="inlineStr">
        <is>
          <t>41</t>
        </is>
      </c>
      <c r="C51" s="26" t="inlineStr">
        <is>
          <t>MANDWADE CHAITANYA VIJAY</t>
        </is>
      </c>
      <c r="D51" s="8" t="inlineStr">
        <is>
          <t>-</t>
        </is>
      </c>
    </row>
    <row r="52">
      <c r="A52" s="14" t="inlineStr">
        <is>
          <t>23611780212</t>
        </is>
      </c>
      <c r="B52" s="14" t="inlineStr">
        <is>
          <t>42</t>
        </is>
      </c>
      <c r="C52" s="26" t="inlineStr">
        <is>
          <t>SURYAWANSHI PRATIK M.</t>
        </is>
      </c>
      <c r="D52" s="8" t="inlineStr">
        <is>
          <t>-</t>
        </is>
      </c>
    </row>
    <row r="53">
      <c r="A53" s="14" t="inlineStr">
        <is>
          <t>23611780213</t>
        </is>
      </c>
      <c r="B53" s="14" t="inlineStr">
        <is>
          <t>43</t>
        </is>
      </c>
      <c r="C53" s="26" t="inlineStr">
        <is>
          <t>GUJARE AMBIKA SHANTARAM</t>
        </is>
      </c>
      <c r="D53" s="8" t="inlineStr">
        <is>
          <t>-</t>
        </is>
      </c>
    </row>
    <row r="54">
      <c r="A54" s="14" t="inlineStr">
        <is>
          <t>23611780214</t>
        </is>
      </c>
      <c r="B54" s="14" t="inlineStr">
        <is>
          <t>44</t>
        </is>
      </c>
      <c r="C54" s="26" t="inlineStr">
        <is>
          <t>KARPE PAYAL PRAVIN</t>
        </is>
      </c>
      <c r="D54" s="8" t="inlineStr">
        <is>
          <t>-</t>
        </is>
      </c>
    </row>
    <row r="55">
      <c r="A55" s="14" t="inlineStr">
        <is>
          <t>23611780215</t>
        </is>
      </c>
      <c r="B55" s="14" t="inlineStr">
        <is>
          <t>45</t>
        </is>
      </c>
      <c r="C55" s="26" t="inlineStr">
        <is>
          <t>AHER ANIKET LAXMAN</t>
        </is>
      </c>
      <c r="D55" s="8" t="inlineStr">
        <is>
          <t>-</t>
        </is>
      </c>
    </row>
    <row r="56">
      <c r="A56" s="14" t="inlineStr">
        <is>
          <t>23611780216</t>
        </is>
      </c>
      <c r="B56" s="14" t="inlineStr">
        <is>
          <t>46</t>
        </is>
      </c>
      <c r="C56" s="26" t="inlineStr">
        <is>
          <t>PATIL ATHARVA RAJENDRA</t>
        </is>
      </c>
      <c r="D56" s="8" t="inlineStr">
        <is>
          <t>-</t>
        </is>
      </c>
    </row>
    <row r="57">
      <c r="A57" s="14" t="inlineStr">
        <is>
          <t>23611780217</t>
        </is>
      </c>
      <c r="B57" s="14" t="inlineStr">
        <is>
          <t>47</t>
        </is>
      </c>
      <c r="C57" s="26" t="inlineStr">
        <is>
          <t>RAUNDAL VRUSHABH UMESH</t>
        </is>
      </c>
      <c r="D57" s="8" t="inlineStr">
        <is>
          <t>-</t>
        </is>
      </c>
    </row>
    <row r="58">
      <c r="A58" s="14" t="inlineStr">
        <is>
          <t>23611780218</t>
        </is>
      </c>
      <c r="B58" s="14" t="inlineStr">
        <is>
          <t>48</t>
        </is>
      </c>
      <c r="C58" s="26" t="inlineStr">
        <is>
          <t>PATIL GAYATRI NAMDEO</t>
        </is>
      </c>
      <c r="D58" s="8" t="inlineStr">
        <is>
          <t>-</t>
        </is>
      </c>
    </row>
    <row r="59">
      <c r="A59" s="14" t="inlineStr">
        <is>
          <t>23611780219</t>
        </is>
      </c>
      <c r="B59" s="14" t="inlineStr">
        <is>
          <t>49</t>
        </is>
      </c>
      <c r="C59" s="26" t="inlineStr">
        <is>
          <t>SHELAR SWARUP SADASHIV</t>
        </is>
      </c>
      <c r="D59" s="8" t="inlineStr">
        <is>
          <t>-</t>
        </is>
      </c>
    </row>
    <row r="60">
      <c r="A60" s="14" t="inlineStr">
        <is>
          <t>23611780220</t>
        </is>
      </c>
      <c r="B60" s="14" t="inlineStr">
        <is>
          <t>50</t>
        </is>
      </c>
      <c r="C60" s="26" t="inlineStr">
        <is>
          <t>BHAGWAT SANCHIT VIJAY</t>
        </is>
      </c>
      <c r="D60" s="8" t="inlineStr">
        <is>
          <t>-</t>
        </is>
      </c>
    </row>
    <row r="61">
      <c r="A61" s="14" t="inlineStr">
        <is>
          <t>23611780221</t>
        </is>
      </c>
      <c r="B61" s="14" t="inlineStr">
        <is>
          <t>51</t>
        </is>
      </c>
      <c r="C61" s="26" t="inlineStr">
        <is>
          <t>MALI ARYAN MANOJ</t>
        </is>
      </c>
      <c r="D61" s="8" t="inlineStr">
        <is>
          <t>-</t>
        </is>
      </c>
    </row>
    <row r="62">
      <c r="A62" s="14" t="inlineStr">
        <is>
          <t>23611780222</t>
        </is>
      </c>
      <c r="B62" s="14" t="inlineStr">
        <is>
          <t>52</t>
        </is>
      </c>
      <c r="C62" s="26" t="inlineStr">
        <is>
          <t>PATIL SAKSHI PRAMOD</t>
        </is>
      </c>
      <c r="D62" s="8" t="inlineStr">
        <is>
          <t>-</t>
        </is>
      </c>
    </row>
    <row r="63">
      <c r="A63" s="14" t="inlineStr">
        <is>
          <t>23611780223</t>
        </is>
      </c>
      <c r="B63" s="14" t="inlineStr">
        <is>
          <t>53</t>
        </is>
      </c>
      <c r="C63" s="26" t="inlineStr">
        <is>
          <t>WAGH ARYAN DINESH</t>
        </is>
      </c>
      <c r="D63" s="8" t="inlineStr">
        <is>
          <t>-</t>
        </is>
      </c>
    </row>
    <row r="64">
      <c r="A64" s="14" t="inlineStr">
        <is>
          <t>23611780224</t>
        </is>
      </c>
      <c r="B64" s="14" t="inlineStr">
        <is>
          <t>54</t>
        </is>
      </c>
      <c r="C64" s="26" t="inlineStr">
        <is>
          <t>MISHRA PUSHKAR</t>
        </is>
      </c>
      <c r="D64" s="8" t="inlineStr">
        <is>
          <t>-</t>
        </is>
      </c>
    </row>
    <row r="65">
      <c r="A65" s="14" t="inlineStr">
        <is>
          <t>23611780225</t>
        </is>
      </c>
      <c r="B65" s="14" t="inlineStr">
        <is>
          <t>55</t>
        </is>
      </c>
      <c r="C65" s="26" t="inlineStr">
        <is>
          <t>BIDVE MOHIT SUBODH</t>
        </is>
      </c>
      <c r="D65" s="8" t="inlineStr">
        <is>
          <t>-</t>
        </is>
      </c>
    </row>
    <row r="66">
      <c r="A66" s="14" t="inlineStr">
        <is>
          <t>23611780227</t>
        </is>
      </c>
      <c r="B66" s="14" t="inlineStr">
        <is>
          <t>56</t>
        </is>
      </c>
      <c r="C66" s="26" t="inlineStr">
        <is>
          <t>PANDIT JAYTESH J.</t>
        </is>
      </c>
      <c r="D66" s="8" t="inlineStr">
        <is>
          <t>-</t>
        </is>
      </c>
    </row>
    <row r="67">
      <c r="A67" s="14" t="inlineStr">
        <is>
          <t>23611780228</t>
        </is>
      </c>
      <c r="B67" s="14" t="inlineStr">
        <is>
          <t>57</t>
        </is>
      </c>
      <c r="C67" s="26" t="inlineStr">
        <is>
          <t>PATEL MAHI URVISH</t>
        </is>
      </c>
      <c r="D67" s="8" t="inlineStr">
        <is>
          <t>-</t>
        </is>
      </c>
    </row>
    <row r="68">
      <c r="A68" s="14" t="inlineStr">
        <is>
          <t>23611780230</t>
        </is>
      </c>
      <c r="B68" s="14" t="inlineStr">
        <is>
          <t>58</t>
        </is>
      </c>
      <c r="C68" s="26" t="inlineStr">
        <is>
          <t>PATIL VRUSHALI VINOD</t>
        </is>
      </c>
      <c r="D68" s="8" t="inlineStr">
        <is>
          <t>-</t>
        </is>
      </c>
    </row>
    <row r="69">
      <c r="A69" s="14" t="inlineStr">
        <is>
          <t>23611780231</t>
        </is>
      </c>
      <c r="B69" s="14" t="inlineStr">
        <is>
          <t>59</t>
        </is>
      </c>
      <c r="C69" s="26" t="inlineStr">
        <is>
          <t>SONAWANE SOHAM SOPAN</t>
        </is>
      </c>
      <c r="D69" s="8" t="inlineStr">
        <is>
          <t>-</t>
        </is>
      </c>
    </row>
    <row r="70">
      <c r="A70" s="14" t="inlineStr">
        <is>
          <t>23611780232</t>
        </is>
      </c>
      <c r="B70" s="14" t="inlineStr">
        <is>
          <t>60</t>
        </is>
      </c>
      <c r="C70" s="26" t="inlineStr">
        <is>
          <t>DESALE GAURI RAOSAHEB</t>
        </is>
      </c>
      <c r="D70" s="8" t="inlineStr">
        <is>
          <t>-</t>
        </is>
      </c>
    </row>
    <row r="71">
      <c r="A71" s="14" t="inlineStr">
        <is>
          <t>23611780233</t>
        </is>
      </c>
      <c r="B71" s="14" t="inlineStr">
        <is>
          <t>61</t>
        </is>
      </c>
      <c r="C71" s="26" t="inlineStr">
        <is>
          <t>BARHATE PRANJAL MADHAV</t>
        </is>
      </c>
      <c r="D71" s="8" t="inlineStr">
        <is>
          <t>-</t>
        </is>
      </c>
    </row>
    <row r="72">
      <c r="A72" s="14" t="inlineStr">
        <is>
          <t>23611780234</t>
        </is>
      </c>
      <c r="B72" s="14" t="inlineStr">
        <is>
          <t>62</t>
        </is>
      </c>
      <c r="C72" s="26" t="inlineStr">
        <is>
          <t>KANADE SARTHAK SUSHIL</t>
        </is>
      </c>
      <c r="D72" s="8" t="inlineStr">
        <is>
          <t>-</t>
        </is>
      </c>
    </row>
    <row r="73">
      <c r="A73" s="14" t="inlineStr">
        <is>
          <t>23611780235</t>
        </is>
      </c>
      <c r="B73" s="14" t="inlineStr">
        <is>
          <t>63</t>
        </is>
      </c>
      <c r="C73" s="26" t="inlineStr">
        <is>
          <t>NIGAL KHUSHI DNYANESHWAR</t>
        </is>
      </c>
      <c r="D73" s="8" t="inlineStr">
        <is>
          <t>-</t>
        </is>
      </c>
    </row>
    <row r="74">
      <c r="A74" s="14" t="inlineStr">
        <is>
          <t>23611780236</t>
        </is>
      </c>
      <c r="B74" s="14" t="inlineStr">
        <is>
          <t>64</t>
        </is>
      </c>
      <c r="C74" s="26" t="inlineStr">
        <is>
          <t>GALANKAR ARPITA SANJAY</t>
        </is>
      </c>
      <c r="D74" s="8" t="inlineStr">
        <is>
          <t>-</t>
        </is>
      </c>
    </row>
    <row r="75">
      <c r="A75" s="14" t="inlineStr">
        <is>
          <t>23611780237</t>
        </is>
      </c>
      <c r="B75" s="14" t="inlineStr">
        <is>
          <t>65</t>
        </is>
      </c>
      <c r="C75" s="26" t="inlineStr">
        <is>
          <t>DEORE GAYATRI RAMDAS</t>
        </is>
      </c>
      <c r="D75" s="8" t="inlineStr">
        <is>
          <t>-</t>
        </is>
      </c>
    </row>
    <row r="76">
      <c r="A76" s="14" t="inlineStr">
        <is>
          <t>24611780001</t>
        </is>
      </c>
      <c r="B76" s="14" t="inlineStr">
        <is>
          <t>66</t>
        </is>
      </c>
      <c r="C76" s="26" t="inlineStr">
        <is>
          <t>THAKARE KOMAL ATAMARAM</t>
        </is>
      </c>
      <c r="D76" s="8" t="inlineStr">
        <is>
          <t>-</t>
        </is>
      </c>
    </row>
    <row r="77">
      <c r="A77" s="14" t="inlineStr">
        <is>
          <t>24611780002</t>
        </is>
      </c>
      <c r="B77" s="14" t="inlineStr">
        <is>
          <t>67</t>
        </is>
      </c>
      <c r="C77" s="26" t="inlineStr">
        <is>
          <t>KHARE ASHLESHA YOGESH</t>
        </is>
      </c>
      <c r="D77" s="8" t="inlineStr">
        <is>
          <t>-</t>
        </is>
      </c>
    </row>
    <row r="78">
      <c r="A78" s="14" t="inlineStr">
        <is>
          <t>24611780003</t>
        </is>
      </c>
      <c r="B78" s="14" t="inlineStr">
        <is>
          <t>68</t>
        </is>
      </c>
      <c r="C78" s="26" t="inlineStr">
        <is>
          <t>DAWARE SAKSHI HARISHCHANDRA</t>
        </is>
      </c>
      <c r="D78" s="8" t="inlineStr">
        <is>
          <t>-</t>
        </is>
      </c>
    </row>
    <row r="79">
      <c r="A79" s="14" t="inlineStr">
        <is>
          <t>24611780004</t>
        </is>
      </c>
      <c r="B79" s="14" t="inlineStr">
        <is>
          <t>69</t>
        </is>
      </c>
      <c r="C79" s="26" t="inlineStr">
        <is>
          <t>JADHAV YASHSWINI RAJENDRA</t>
        </is>
      </c>
      <c r="D79" s="8" t="inlineStr">
        <is>
          <t>-</t>
        </is>
      </c>
    </row>
    <row r="80">
      <c r="A80" s="14" t="inlineStr">
        <is>
          <t>24611780005</t>
        </is>
      </c>
      <c r="B80" s="14" t="inlineStr">
        <is>
          <t>70</t>
        </is>
      </c>
      <c r="C80" s="26" t="inlineStr">
        <is>
          <t>SONAWANE ANUSHKA PANDIT</t>
        </is>
      </c>
      <c r="D80" s="8" t="inlineStr">
        <is>
          <t>-</t>
        </is>
      </c>
    </row>
    <row r="81">
      <c r="A81" s="14" t="inlineStr">
        <is>
          <t>24611780006</t>
        </is>
      </c>
      <c r="B81" s="14" t="inlineStr">
        <is>
          <t>71</t>
        </is>
      </c>
      <c r="C81" s="26" t="inlineStr">
        <is>
          <t>WARKE SAHIL GUNWANT</t>
        </is>
      </c>
      <c r="D81" s="8" t="inlineStr">
        <is>
          <t>-</t>
        </is>
      </c>
    </row>
    <row r="82">
      <c r="A82" s="14" t="inlineStr">
        <is>
          <t>24611780007</t>
        </is>
      </c>
      <c r="B82" s="14" t="inlineStr">
        <is>
          <t>72</t>
        </is>
      </c>
      <c r="C82" s="26" t="inlineStr">
        <is>
          <t>PAGAR DNYANESHWARI PADMAKAR</t>
        </is>
      </c>
      <c r="D82" s="8" t="inlineStr">
        <is>
          <t>-</t>
        </is>
      </c>
    </row>
    <row r="83">
      <c r="A83" s="27" t="inlineStr">
        <is>
          <t>Average Rating</t>
        </is>
      </c>
    </row>
    <row r="84">
      <c r="A84" s="27" t="inlineStr">
        <is>
          <t>Total Responses</t>
        </is>
      </c>
    </row>
    <row r="86">
      <c r="B86" s="33" t="inlineStr">
        <is>
          <t>CO attainment through CES</t>
        </is>
      </c>
    </row>
    <row r="87">
      <c r="B87" s="14" t="inlineStr">
        <is>
          <t>Course Outcome</t>
        </is>
      </c>
      <c r="C87" s="14" t="inlineStr">
        <is>
          <t>Avg Rating</t>
        </is>
      </c>
    </row>
    <row r="88">
      <c r="B88" s="14" t="inlineStr">
        <is>
          <t>CO1</t>
        </is>
      </c>
      <c r="C88" s="15" t="n">
        <v>5</v>
      </c>
      <c r="D88" s="14" t="n">
        <v>0</v>
      </c>
    </row>
    <row r="89">
      <c r="B89" s="14" t="inlineStr">
        <is>
          <t>CO201.2</t>
        </is>
      </c>
      <c r="C89" s="15" t="n">
        <v>5</v>
      </c>
      <c r="D89" s="14" t="n">
        <v>0</v>
      </c>
    </row>
    <row r="90">
      <c r="B90" s="14" t="inlineStr">
        <is>
          <t>CO201.3</t>
        </is>
      </c>
      <c r="C90" s="15" t="n">
        <v>5</v>
      </c>
      <c r="D90" s="14" t="n">
        <v>0</v>
      </c>
    </row>
    <row r="91">
      <c r="B91" s="14" t="inlineStr">
        <is>
          <t>CO201.4</t>
        </is>
      </c>
      <c r="C91" s="15" t="n">
        <v>5</v>
      </c>
      <c r="D91" s="14" t="n">
        <v>0</v>
      </c>
    </row>
    <row r="92">
      <c r="B92" s="14" t="inlineStr">
        <is>
          <t>CO201.5</t>
        </is>
      </c>
      <c r="C92" s="15" t="n">
        <v>5</v>
      </c>
      <c r="D92" s="14" t="n">
        <v>0</v>
      </c>
    </row>
    <row r="93">
      <c r="B93" s="14" t="inlineStr">
        <is>
          <t>CO201.6</t>
        </is>
      </c>
      <c r="C93" s="15" t="n">
        <v>5</v>
      </c>
      <c r="D93" s="14" t="n">
        <v>0</v>
      </c>
    </row>
  </sheetData>
  <mergeCells count="20">
    <mergeCell ref="C3:M3"/>
    <mergeCell ref="A84:C84"/>
    <mergeCell ref="C9:K9"/>
    <mergeCell ref="A1:B3"/>
    <mergeCell ref="A6:B6"/>
    <mergeCell ref="A7:B7"/>
    <mergeCell ref="C1:M1"/>
    <mergeCell ref="C8:K8"/>
    <mergeCell ref="C7:K7"/>
    <mergeCell ref="A5:B5"/>
    <mergeCell ref="C2:M2"/>
    <mergeCell ref="A83:C83"/>
    <mergeCell ref="A8:B8"/>
    <mergeCell ref="C6:K6"/>
    <mergeCell ref="A4:B4"/>
    <mergeCell ref="C5:K5"/>
    <mergeCell ref="A9:B9"/>
    <mergeCell ref="C4:K4"/>
    <mergeCell ref="B86:D86"/>
    <mergeCell ref="C87:D87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12" customWidth="1" min="13" max="13"/>
    <col width="60" customWidth="1" min="14" max="14"/>
  </cols>
  <sheetData>
    <row r="1" ht="30" customHeight="1">
      <c r="A1" s="1" t="n"/>
      <c r="C1" s="2" t="inlineStr">
        <is>
          <t>Sandip Polytechnic, Nashik</t>
        </is>
      </c>
      <c r="N1" s="3" t="inlineStr">
        <is>
          <t>Mapping &amp; PO-PSO Att.</t>
        </is>
      </c>
    </row>
    <row r="2" ht="25" customHeight="1">
      <c r="C2" s="4" t="inlineStr">
        <is>
          <t>Computer Engineering Program</t>
        </is>
      </c>
    </row>
    <row r="3" ht="20" customHeight="1">
      <c r="C3" s="4" t="inlineStr">
        <is>
          <t>Evaluation Sheet for Mapping &amp; PO-PSO Att.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2">
      <c r="A12" s="34" t="inlineStr">
        <is>
          <t>CO No.</t>
        </is>
      </c>
      <c r="B12" s="35" t="inlineStr">
        <is>
          <t>POs</t>
        </is>
      </c>
      <c r="I12" s="35" t="inlineStr">
        <is>
          <t>PSOs</t>
        </is>
      </c>
      <c r="M12" s="36" t="inlineStr">
        <is>
          <t>Course outcomes</t>
        </is>
      </c>
    </row>
    <row r="13">
      <c r="B13" s="34" t="inlineStr">
        <is>
          <t>PO 1</t>
        </is>
      </c>
      <c r="C13" s="34" t="inlineStr">
        <is>
          <t>PO 2</t>
        </is>
      </c>
      <c r="D13" s="34" t="inlineStr">
        <is>
          <t>PO 3</t>
        </is>
      </c>
      <c r="E13" s="34" t="inlineStr">
        <is>
          <t>PO 4</t>
        </is>
      </c>
      <c r="F13" s="34" t="inlineStr">
        <is>
          <t>PO 5</t>
        </is>
      </c>
      <c r="G13" s="34" t="inlineStr">
        <is>
          <t>PO 6</t>
        </is>
      </c>
      <c r="H13" s="34" t="inlineStr">
        <is>
          <t>PO 7</t>
        </is>
      </c>
      <c r="I13" s="34" t="inlineStr">
        <is>
          <t>PSO 1</t>
        </is>
      </c>
      <c r="J13" s="34" t="inlineStr">
        <is>
          <t>PSO 2</t>
        </is>
      </c>
      <c r="K13" s="34" t="inlineStr">
        <is>
          <t>PSO 3</t>
        </is>
      </c>
      <c r="M13" s="14" t="inlineStr">
        <is>
          <t>CO No.</t>
        </is>
      </c>
      <c r="N13" s="14" t="inlineStr">
        <is>
          <t>Description</t>
        </is>
      </c>
    </row>
    <row r="14">
      <c r="A14" s="34" t="inlineStr">
        <is>
          <t>CO1</t>
        </is>
      </c>
      <c r="B14" s="5" t="n">
        <v>2</v>
      </c>
      <c r="C14" s="5" t="inlineStr"/>
      <c r="D14" s="5" t="inlineStr"/>
      <c r="E14" s="5" t="n">
        <v>1</v>
      </c>
      <c r="F14" s="5" t="inlineStr"/>
      <c r="G14" s="5" t="inlineStr"/>
      <c r="H14" s="5" t="n">
        <v>1</v>
      </c>
      <c r="I14" s="5" t="n">
        <v>2</v>
      </c>
      <c r="J14" s="5" t="n">
        <v>1</v>
      </c>
      <c r="K14" s="5" t="n">
        <v>2</v>
      </c>
      <c r="M14" s="14" t="inlineStr">
        <is>
          <t>CO1</t>
        </is>
      </c>
      <c r="N14" s="14" t="inlineStr">
        <is>
          <t>Perform basic operations on Arrays.</t>
        </is>
      </c>
    </row>
    <row r="15">
      <c r="A15" s="34" t="inlineStr">
        <is>
          <t>CO201.2</t>
        </is>
      </c>
      <c r="B15" s="5" t="n">
        <v>2</v>
      </c>
      <c r="C15" s="5" t="n">
        <v>2</v>
      </c>
      <c r="D15" s="5" t="n">
        <v>2</v>
      </c>
      <c r="E15" s="5" t="n">
        <v>1</v>
      </c>
      <c r="F15" s="5" t="inlineStr"/>
      <c r="G15" s="5" t="inlineStr"/>
      <c r="H15" s="5" t="n">
        <v>1</v>
      </c>
      <c r="I15" s="5" t="n">
        <v>2</v>
      </c>
      <c r="J15" s="5" t="inlineStr"/>
      <c r="K15" s="5" t="n">
        <v>2</v>
      </c>
      <c r="M15" s="14" t="inlineStr">
        <is>
          <t>CO201.2</t>
        </is>
      </c>
      <c r="N15" s="14" t="inlineStr">
        <is>
          <t>Apply different Searching and Sorting methods.</t>
        </is>
      </c>
    </row>
    <row r="16">
      <c r="A16" s="34" t="inlineStr">
        <is>
          <t>CO201.3</t>
        </is>
      </c>
      <c r="B16" s="5" t="n">
        <v>2</v>
      </c>
      <c r="C16" s="5" t="n">
        <v>2</v>
      </c>
      <c r="D16" s="5" t="n">
        <v>2</v>
      </c>
      <c r="E16" s="5" t="n">
        <v>1</v>
      </c>
      <c r="F16" s="5" t="n">
        <v>1</v>
      </c>
      <c r="G16" s="5" t="n">
        <v>1</v>
      </c>
      <c r="H16" s="5" t="n">
        <v>1</v>
      </c>
      <c r="I16" s="5" t="n">
        <v>2</v>
      </c>
      <c r="J16" s="5" t="inlineStr"/>
      <c r="K16" s="5" t="n">
        <v>2</v>
      </c>
      <c r="M16" s="14" t="inlineStr">
        <is>
          <t>CO201.3</t>
        </is>
      </c>
      <c r="N16" s="14" t="inlineStr">
        <is>
          <t>Implement basic operations on Linked List.</t>
        </is>
      </c>
    </row>
    <row r="17">
      <c r="A17" s="34" t="inlineStr">
        <is>
          <t>CO201.4</t>
        </is>
      </c>
      <c r="B17" s="5" t="n">
        <v>2</v>
      </c>
      <c r="C17" s="5" t="n">
        <v>2</v>
      </c>
      <c r="D17" s="5" t="n">
        <v>2</v>
      </c>
      <c r="E17" s="5" t="n">
        <v>1</v>
      </c>
      <c r="F17" s="5" t="inlineStr"/>
      <c r="G17" s="5" t="n">
        <v>1</v>
      </c>
      <c r="H17" s="5" t="n">
        <v>1</v>
      </c>
      <c r="I17" s="5" t="n">
        <v>2</v>
      </c>
      <c r="J17" s="5" t="inlineStr"/>
      <c r="K17" s="5" t="n">
        <v>2</v>
      </c>
      <c r="M17" s="14" t="inlineStr">
        <is>
          <t>CO201.4</t>
        </is>
      </c>
      <c r="N17" s="14" t="inlineStr">
        <is>
          <t>Perform operations on Stack using Array and Linked List Implementations.</t>
        </is>
      </c>
    </row>
    <row r="18">
      <c r="A18" s="34" t="inlineStr">
        <is>
          <t>CO201.5</t>
        </is>
      </c>
      <c r="B18" s="5" t="n">
        <v>2</v>
      </c>
      <c r="C18" s="5" t="n">
        <v>2</v>
      </c>
      <c r="D18" s="5" t="n">
        <v>2</v>
      </c>
      <c r="E18" s="5" t="n">
        <v>1</v>
      </c>
      <c r="F18" s="5" t="inlineStr"/>
      <c r="G18" s="5" t="n">
        <v>1</v>
      </c>
      <c r="H18" s="5" t="n">
        <v>1</v>
      </c>
      <c r="I18" s="5" t="n">
        <v>2</v>
      </c>
      <c r="J18" s="5" t="inlineStr"/>
      <c r="K18" s="5" t="n">
        <v>2</v>
      </c>
      <c r="M18" s="14" t="inlineStr">
        <is>
          <t>CO201.5</t>
        </is>
      </c>
      <c r="N18" s="14" t="inlineStr">
        <is>
          <t>Perform operations on Queue using Array and Linked List Implementations.</t>
        </is>
      </c>
    </row>
    <row r="19">
      <c r="A19" s="34" t="inlineStr">
        <is>
          <t>CO201.6</t>
        </is>
      </c>
      <c r="B19" s="5" t="n">
        <v>2</v>
      </c>
      <c r="C19" s="5" t="n">
        <v>2</v>
      </c>
      <c r="D19" s="5" t="n">
        <v>2</v>
      </c>
      <c r="E19" s="5" t="n">
        <v>1</v>
      </c>
      <c r="F19" s="5" t="inlineStr"/>
      <c r="G19" s="5" t="n">
        <v>1</v>
      </c>
      <c r="H19" s="5" t="n">
        <v>1</v>
      </c>
      <c r="I19" s="5" t="inlineStr"/>
      <c r="J19" s="5" t="inlineStr"/>
      <c r="K19" s="5" t="inlineStr"/>
      <c r="M19" s="14" t="inlineStr">
        <is>
          <t>CO201.6</t>
        </is>
      </c>
      <c r="N19" s="14" t="inlineStr">
        <is>
          <t>Create and Traverse Tree to solve problems.</t>
        </is>
      </c>
    </row>
    <row r="20">
      <c r="A20" s="5" t="inlineStr">
        <is>
          <t>Average</t>
        </is>
      </c>
      <c r="B20" s="5" t="n">
        <v>2</v>
      </c>
      <c r="C20" s="5" t="n">
        <v>2</v>
      </c>
      <c r="D20" s="5" t="n">
        <v>2</v>
      </c>
      <c r="E20" s="5" t="n">
        <v>1</v>
      </c>
      <c r="F20" s="5" t="n">
        <v>1</v>
      </c>
      <c r="G20" s="5" t="n">
        <v>1</v>
      </c>
      <c r="H20" s="5" t="n">
        <v>1</v>
      </c>
      <c r="I20" s="5" t="n">
        <v>2</v>
      </c>
      <c r="J20" s="5" t="n">
        <v>1</v>
      </c>
      <c r="K20" s="5" t="n">
        <v>2</v>
      </c>
    </row>
    <row r="24">
      <c r="A24" s="37" t="inlineStr">
        <is>
          <t>Direct CO Attainment</t>
        </is>
      </c>
    </row>
    <row r="25">
      <c r="A25" s="38" t="inlineStr">
        <is>
          <t>CO</t>
        </is>
      </c>
      <c r="B25" s="38" t="inlineStr">
        <is>
          <t>Attainment</t>
        </is>
      </c>
    </row>
    <row r="26">
      <c r="A26" s="14" t="inlineStr">
        <is>
          <t>CO1</t>
        </is>
      </c>
      <c r="B26" s="14" t="n">
        <v>0</v>
      </c>
    </row>
    <row r="27">
      <c r="A27" s="14" t="inlineStr">
        <is>
          <t>CO201.2</t>
        </is>
      </c>
      <c r="B27" s="14" t="n">
        <v>0</v>
      </c>
    </row>
    <row r="28">
      <c r="A28" s="14" t="inlineStr">
        <is>
          <t>CO201.3</t>
        </is>
      </c>
      <c r="B28" s="14" t="n">
        <v>0</v>
      </c>
    </row>
    <row r="29">
      <c r="A29" s="14" t="inlineStr">
        <is>
          <t>CO201.4</t>
        </is>
      </c>
      <c r="B29" s="14" t="n">
        <v>0</v>
      </c>
    </row>
    <row r="30">
      <c r="A30" s="14" t="inlineStr">
        <is>
          <t>CO201.5</t>
        </is>
      </c>
      <c r="B30" s="14" t="n">
        <v>0</v>
      </c>
    </row>
    <row r="31">
      <c r="A31" s="14" t="inlineStr">
        <is>
          <t>CO201.6</t>
        </is>
      </c>
      <c r="B31" s="14" t="n">
        <v>0</v>
      </c>
    </row>
    <row r="32">
      <c r="A32" s="39" t="inlineStr">
        <is>
          <t>Average</t>
        </is>
      </c>
      <c r="B32" s="39" t="n">
        <v>0</v>
      </c>
    </row>
    <row r="34">
      <c r="B34" s="37" t="inlineStr">
        <is>
          <t>Direct POs &amp; PSOs Attainment</t>
        </is>
      </c>
    </row>
    <row r="35">
      <c r="B35" s="40" t="inlineStr">
        <is>
          <t>PO 1</t>
        </is>
      </c>
      <c r="C35" s="40" t="inlineStr">
        <is>
          <t>PO 2</t>
        </is>
      </c>
      <c r="D35" s="40" t="inlineStr">
        <is>
          <t>PO 3</t>
        </is>
      </c>
      <c r="E35" s="40" t="inlineStr">
        <is>
          <t>PO 4</t>
        </is>
      </c>
      <c r="F35" s="40" t="inlineStr">
        <is>
          <t>PO 5</t>
        </is>
      </c>
      <c r="G35" s="40" t="inlineStr">
        <is>
          <t>PO 6</t>
        </is>
      </c>
      <c r="H35" s="40" t="inlineStr">
        <is>
          <t>PO 7</t>
        </is>
      </c>
      <c r="I35" s="40" t="inlineStr">
        <is>
          <t>PSO 1</t>
        </is>
      </c>
      <c r="J35" s="40" t="inlineStr">
        <is>
          <t>PSO 2</t>
        </is>
      </c>
      <c r="K35" s="40" t="inlineStr">
        <is>
          <t>PSO 3</t>
        </is>
      </c>
    </row>
    <row r="36">
      <c r="B36" s="40" t="n">
        <v>0</v>
      </c>
      <c r="C36" s="40" t="n">
        <v>0</v>
      </c>
      <c r="D36" s="40" t="n">
        <v>0</v>
      </c>
      <c r="E36" s="40" t="n">
        <v>0</v>
      </c>
      <c r="F36" s="40" t="n">
        <v>0</v>
      </c>
      <c r="G36" s="40" t="n">
        <v>0</v>
      </c>
      <c r="H36" s="40" t="n">
        <v>0</v>
      </c>
      <c r="I36" s="40" t="n">
        <v>0</v>
      </c>
      <c r="J36" s="40" t="n">
        <v>0</v>
      </c>
      <c r="K36" s="40" t="n">
        <v>0</v>
      </c>
    </row>
  </sheetData>
  <mergeCells count="21">
    <mergeCell ref="A24:B24"/>
    <mergeCell ref="C3:M3"/>
    <mergeCell ref="C9:K9"/>
    <mergeCell ref="I12:K12"/>
    <mergeCell ref="A1:B3"/>
    <mergeCell ref="A6:B6"/>
    <mergeCell ref="A7:B7"/>
    <mergeCell ref="C1:M1"/>
    <mergeCell ref="C8:K8"/>
    <mergeCell ref="C7:K7"/>
    <mergeCell ref="M12:N12"/>
    <mergeCell ref="B12:H12"/>
    <mergeCell ref="A5:B5"/>
    <mergeCell ref="C2:M2"/>
    <mergeCell ref="A8:B8"/>
    <mergeCell ref="C6:K6"/>
    <mergeCell ref="A4:B4"/>
    <mergeCell ref="C5:K5"/>
    <mergeCell ref="B34:K34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2026-03-09T19:54:01Z</dcterms:created>
  <dcterms:modified xsi:type="dcterms:W3CDTF">2026-03-09T19:54:03Z</dcterms:modified>
</cp:coreProperties>
</file>