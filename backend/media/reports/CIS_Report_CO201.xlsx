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1.24</v>
      </c>
      <c r="D13" s="9" t="n">
        <v>3</v>
      </c>
      <c r="E13" s="8" t="n">
        <v>41.26</v>
      </c>
      <c r="F13" s="8" t="n">
        <v>1.76</v>
      </c>
      <c r="G13" s="10" t="inlineStr">
        <is>
          <t>Course Target is not achieved</t>
        </is>
      </c>
      <c r="H13" s="11" t="inlineStr">
        <is>
          <t>No ATR Submitted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2.5</v>
      </c>
      <c r="D13" s="8" t="inlineStr">
        <is>
          <t>-</t>
        </is>
      </c>
      <c r="E13" s="8" t="n">
        <v>2</v>
      </c>
      <c r="F13" s="8" t="n">
        <v>1</v>
      </c>
      <c r="G13" s="8" t="n">
        <v>1</v>
      </c>
      <c r="H13" s="14" t="n">
        <v>1.62</v>
      </c>
      <c r="J13" s="8" t="n">
        <v>1.75</v>
      </c>
      <c r="K13" s="8" t="n">
        <v>1</v>
      </c>
      <c r="L13" s="14" t="n">
        <v>1.38</v>
      </c>
      <c r="N13" s="14" t="n">
        <v>1.48</v>
      </c>
      <c r="O13" s="14" t="inlineStr">
        <is>
          <t>-</t>
        </is>
      </c>
      <c r="P13" s="14" t="n">
        <v>1.18</v>
      </c>
      <c r="Q13" s="15" t="n">
        <v>3</v>
      </c>
      <c r="R13" s="14" t="n">
        <v>1.82</v>
      </c>
      <c r="S13" s="15" t="n">
        <v>3</v>
      </c>
    </row>
    <row r="14">
      <c r="B14" s="8" t="inlineStr">
        <is>
          <t>CO201.2</t>
        </is>
      </c>
      <c r="C14" s="8" t="n">
        <v>1.75</v>
      </c>
      <c r="D14" s="8" t="inlineStr">
        <is>
          <t>-</t>
        </is>
      </c>
      <c r="E14" s="8" t="n">
        <v>2</v>
      </c>
      <c r="F14" s="8" t="n">
        <v>2</v>
      </c>
      <c r="G14" s="8" t="n">
        <v>1</v>
      </c>
      <c r="H14" s="14" t="n">
        <v>1.69</v>
      </c>
      <c r="J14" s="8" t="n">
        <v>1.75</v>
      </c>
      <c r="K14" s="8" t="n">
        <v>1</v>
      </c>
      <c r="L14" s="14" t="n">
        <v>1.38</v>
      </c>
      <c r="N14" s="14" t="n">
        <v>1.5</v>
      </c>
      <c r="O14" s="14" t="inlineStr">
        <is>
          <t>-</t>
        </is>
      </c>
      <c r="P14" s="14" t="n">
        <v>1.2</v>
      </c>
      <c r="Q14" s="15" t="n">
        <v>3</v>
      </c>
      <c r="R14" s="14" t="n">
        <v>1.8</v>
      </c>
      <c r="S14" s="15" t="n">
        <v>3</v>
      </c>
    </row>
    <row r="15">
      <c r="B15" s="8" t="inlineStr">
        <is>
          <t>CO201.3</t>
        </is>
      </c>
      <c r="C15" s="8" t="n">
        <v>1</v>
      </c>
      <c r="D15" s="8" t="inlineStr">
        <is>
          <t>-</t>
        </is>
      </c>
      <c r="E15" s="8" t="n">
        <v>2</v>
      </c>
      <c r="F15" s="8" t="n">
        <v>1.5</v>
      </c>
      <c r="G15" s="8" t="n">
        <v>1</v>
      </c>
      <c r="H15" s="14" t="n">
        <v>1.38</v>
      </c>
      <c r="J15" s="8" t="n">
        <v>1.75</v>
      </c>
      <c r="K15" s="8" t="n">
        <v>1</v>
      </c>
      <c r="L15" s="14" t="n">
        <v>1.38</v>
      </c>
      <c r="N15" s="14" t="n">
        <v>1.38</v>
      </c>
      <c r="O15" s="14" t="inlineStr">
        <is>
          <t>-</t>
        </is>
      </c>
      <c r="P15" s="14" t="n">
        <v>1.1</v>
      </c>
      <c r="Q15" s="15" t="n">
        <v>3</v>
      </c>
      <c r="R15" s="14" t="n">
        <v>1.9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1.25</v>
      </c>
      <c r="E16" s="8" t="n">
        <v>2</v>
      </c>
      <c r="F16" s="8" t="n">
        <v>1.5</v>
      </c>
      <c r="G16" s="8" t="n">
        <v>1</v>
      </c>
      <c r="H16" s="14" t="n">
        <v>1.44</v>
      </c>
      <c r="J16" s="8" t="n">
        <v>1.75</v>
      </c>
      <c r="K16" s="8" t="n">
        <v>1</v>
      </c>
      <c r="L16" s="14" t="n">
        <v>1.38</v>
      </c>
      <c r="N16" s="14" t="n">
        <v>1.4</v>
      </c>
      <c r="O16" s="14" t="inlineStr">
        <is>
          <t>-</t>
        </is>
      </c>
      <c r="P16" s="14" t="n">
        <v>1.12</v>
      </c>
      <c r="Q16" s="15" t="n">
        <v>3</v>
      </c>
      <c r="R16" s="14" t="n">
        <v>1.88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1.5</v>
      </c>
      <c r="E17" s="8" t="n">
        <v>2</v>
      </c>
      <c r="F17" s="8" t="n">
        <v>1.75</v>
      </c>
      <c r="G17" s="8" t="n">
        <v>1</v>
      </c>
      <c r="H17" s="14" t="n">
        <v>1.56</v>
      </c>
      <c r="J17" s="8" t="n">
        <v>1.75</v>
      </c>
      <c r="K17" s="8" t="n">
        <v>1</v>
      </c>
      <c r="L17" s="14" t="n">
        <v>1.38</v>
      </c>
      <c r="N17" s="14" t="n">
        <v>1.45</v>
      </c>
      <c r="O17" s="14" t="inlineStr">
        <is>
          <t>-</t>
        </is>
      </c>
      <c r="P17" s="14" t="n">
        <v>1.16</v>
      </c>
      <c r="Q17" s="15" t="n">
        <v>3</v>
      </c>
      <c r="R17" s="14" t="n">
        <v>1.84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1.75</v>
      </c>
      <c r="E18" s="8" t="n">
        <v>2.5</v>
      </c>
      <c r="F18" s="8" t="n">
        <v>2.5</v>
      </c>
      <c r="G18" s="8" t="n">
        <v>1</v>
      </c>
      <c r="H18" s="14" t="n">
        <v>1.94</v>
      </c>
      <c r="J18" s="8" t="n">
        <v>1.75</v>
      </c>
      <c r="K18" s="8" t="n">
        <v>1</v>
      </c>
      <c r="L18" s="14" t="n">
        <v>1.38</v>
      </c>
      <c r="N18" s="14" t="n">
        <v>1.6</v>
      </c>
      <c r="O18" s="14" t="inlineStr">
        <is>
          <t>-</t>
        </is>
      </c>
      <c r="P18" s="14" t="n">
        <v>1.28</v>
      </c>
      <c r="Q18" s="15" t="n">
        <v>3</v>
      </c>
      <c r="R18" s="14" t="n">
        <v>1.72</v>
      </c>
      <c r="S18" s="15" t="n">
        <v>3</v>
      </c>
    </row>
    <row r="19">
      <c r="B19" s="16" t="inlineStr">
        <is>
          <t>Attainment of CO</t>
        </is>
      </c>
      <c r="P19" s="17">
        <f>AVERAGE(P13:P18)</f>
        <v/>
      </c>
      <c r="Q19" s="17" t="inlineStr"/>
      <c r="R19" s="17">
        <f>AVERAGE(R13:R18)</f>
        <v/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27">
        <f>IFERROR(ROUND(AVERAGE(S14:S13),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27">
        <f>COUNT(S14:S13)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27">
        <f>IF(AND(COUNT(S14:S13)&gt;0, S14&gt;0), ROUND(COUNTIF(S14:S13, "&gt;="&amp;S14) / COUNT(S14:S13)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27">
        <f>IFERROR(ROUND(AVERAGE(S14:S13),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27">
        <f>COUNT(S14:S13)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27">
        <f>IF(AND(COUNT(S14:S13)&gt;0, S14&gt;0), ROUND(COUNTIF(S14:S13, "&gt;="&amp;S14) / COUNT(S14:S13)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CO4</t>
        </is>
      </c>
      <c r="C21" s="9" t="n">
        <v>0</v>
      </c>
      <c r="D21" s="8" t="n">
        <v>0</v>
      </c>
    </row>
    <row r="22">
      <c r="B22" s="8" t="inlineStr">
        <is>
          <t>CO5</t>
        </is>
      </c>
      <c r="C22" s="9" t="n">
        <v>0</v>
      </c>
      <c r="D22" s="8" t="n">
        <v>0</v>
      </c>
    </row>
    <row r="23">
      <c r="B23" s="8" t="inlineStr">
        <is>
          <t>CO6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0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0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0" t="inlineStr">
        <is>
          <t>Course Outcome</t>
        </is>
      </c>
      <c r="E13" s="31" t="inlineStr">
        <is>
          <t>CO1</t>
        </is>
      </c>
      <c r="F13" s="31" t="inlineStr">
        <is>
          <t>CO2</t>
        </is>
      </c>
      <c r="G13" s="31" t="inlineStr">
        <is>
          <t>CO2</t>
        </is>
      </c>
      <c r="H13" s="31" t="inlineStr">
        <is>
          <t>CO2</t>
        </is>
      </c>
      <c r="I13" s="31" t="inlineStr">
        <is>
          <t>CO2</t>
        </is>
      </c>
      <c r="J13" s="31" t="inlineStr">
        <is>
          <t>CO2</t>
        </is>
      </c>
      <c r="K13" s="31" t="inlineStr">
        <is>
          <t>CO2</t>
        </is>
      </c>
      <c r="L13" s="31" t="inlineStr">
        <is>
          <t>CO2</t>
        </is>
      </c>
      <c r="M13" s="31" t="inlineStr">
        <is>
          <t>CO2</t>
        </is>
      </c>
      <c r="N13" s="31" t="inlineStr">
        <is>
          <t>CO2</t>
        </is>
      </c>
      <c r="O13" s="31" t="inlineStr">
        <is>
          <t>CO2</t>
        </is>
      </c>
      <c r="P13" s="31" t="inlineStr">
        <is>
          <t>CO3</t>
        </is>
      </c>
      <c r="Q13" s="31" t="inlineStr">
        <is>
          <t>CO3</t>
        </is>
      </c>
      <c r="R13" s="31" t="inlineStr">
        <is>
          <t>CO3</t>
        </is>
      </c>
      <c r="S13" s="31" t="inlineStr">
        <is>
          <t>CO3</t>
        </is>
      </c>
      <c r="T13" s="31" t="inlineStr">
        <is>
          <t>CO4</t>
        </is>
      </c>
      <c r="U13" s="31" t="inlineStr">
        <is>
          <t>CO4</t>
        </is>
      </c>
      <c r="V13" s="31" t="inlineStr">
        <is>
          <t>CO4</t>
        </is>
      </c>
      <c r="W13" s="31" t="inlineStr">
        <is>
          <t>CO4</t>
        </is>
      </c>
      <c r="X13" s="31" t="inlineStr">
        <is>
          <t>CO4</t>
        </is>
      </c>
      <c r="Y13" s="31" t="inlineStr">
        <is>
          <t>CO5</t>
        </is>
      </c>
      <c r="Z13" s="31" t="inlineStr">
        <is>
          <t>CO5</t>
        </is>
      </c>
      <c r="AA13" s="31" t="inlineStr">
        <is>
          <t>CO5</t>
        </is>
      </c>
      <c r="AB13" s="31" t="inlineStr">
        <is>
          <t>CO5</t>
        </is>
      </c>
      <c r="AC13" s="31" t="inlineStr">
        <is>
          <t>CO5</t>
        </is>
      </c>
      <c r="AD13" s="31" t="inlineStr">
        <is>
          <t>CO6</t>
        </is>
      </c>
      <c r="AE13" s="31" t="inlineStr">
        <is>
          <t>CO6</t>
        </is>
      </c>
      <c r="AF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8">
        <f>IFERROR(ROUND(AVERAGE(S14:S13), 2), 0)</f>
        <v/>
      </c>
      <c r="T14" s="8">
        <f>IFERROR(ROUND(AVERAGE(T14:T13), 2), 0)</f>
        <v/>
      </c>
      <c r="U14" s="8">
        <f>IFERROR(ROUND(AVERAGE(U14:U13), 2), 0)</f>
        <v/>
      </c>
      <c r="V14" s="8">
        <f>IFERROR(ROUND(AVERAGE(V14:V13), 2), 0)</f>
        <v/>
      </c>
      <c r="W14" s="8">
        <f>IFERROR(ROUND(AVERAGE(W14:W13), 2), 0)</f>
        <v/>
      </c>
      <c r="X14" s="8">
        <f>IFERROR(ROUND(AVERAGE(X14:X13), 2), 0)</f>
        <v/>
      </c>
      <c r="Y14" s="8">
        <f>IFERROR(ROUND(AVERAGE(Y14:Y13), 2), 0)</f>
        <v/>
      </c>
      <c r="Z14" s="8">
        <f>IFERROR(ROUND(AVERAGE(Z14:Z13), 2), 0)</f>
        <v/>
      </c>
      <c r="AA14" s="8">
        <f>IFERROR(ROUND(AVERAGE(AA14:AA13), 2), 0)</f>
        <v/>
      </c>
      <c r="AB14" s="8">
        <f>IFERROR(ROUND(AVERAGE(AB14:AB13), 2), 0)</f>
        <v/>
      </c>
      <c r="AC14" s="8">
        <f>IFERROR(ROUND(AVERAGE(AC14:AC13), 2), 0)</f>
        <v/>
      </c>
      <c r="AD14" s="8">
        <f>IFERROR(ROUND(AVERAGE(AD14:AD13), 2), 0)</f>
        <v/>
      </c>
      <c r="AE14" s="8">
        <f>IFERROR(ROUND(AVERAGE(AE14:AE13), 2), 0)</f>
        <v/>
      </c>
      <c r="AF14" s="27">
        <f>IFERROR(ROUND(AVERAGE(AF14:AF13),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8">
        <f>COUNT(S14:S13)</f>
        <v/>
      </c>
      <c r="T15" s="8">
        <f>COUNT(T14:T13)</f>
        <v/>
      </c>
      <c r="U15" s="8">
        <f>COUNT(U14:U13)</f>
        <v/>
      </c>
      <c r="V15" s="8">
        <f>COUNT(V14:V13)</f>
        <v/>
      </c>
      <c r="W15" s="8">
        <f>COUNT(W14:W13)</f>
        <v/>
      </c>
      <c r="X15" s="8">
        <f>COUNT(X14:X13)</f>
        <v/>
      </c>
      <c r="Y15" s="8">
        <f>COUNT(Y14:Y13)</f>
        <v/>
      </c>
      <c r="Z15" s="8">
        <f>COUNT(Z14:Z13)</f>
        <v/>
      </c>
      <c r="AA15" s="8">
        <f>COUNT(AA14:AA13)</f>
        <v/>
      </c>
      <c r="AB15" s="8">
        <f>COUNT(AB14:AB13)</f>
        <v/>
      </c>
      <c r="AC15" s="8">
        <f>COUNT(AC14:AC13)</f>
        <v/>
      </c>
      <c r="AD15" s="8">
        <f>COUNT(AD14:AD13)</f>
        <v/>
      </c>
      <c r="AE15" s="8">
        <f>COUNT(AE14:AE13)</f>
        <v/>
      </c>
      <c r="AF15" s="27">
        <f>COUNT(AF14:AF13)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8">
        <f>IF(AND(COUNT(S14:S13)&gt;0, S14&gt;0), ROUND(COUNTIF(S14:S13, "&gt;="&amp;S14) / COUNT(S14:S13) * 100, 2) &amp; "%", "0%")</f>
        <v/>
      </c>
      <c r="T16" s="8">
        <f>IF(AND(COUNT(T14:T13)&gt;0, T14&gt;0), ROUND(COUNTIF(T14:T13, "&gt;="&amp;T14) / COUNT(T14:T13) * 100, 2) &amp; "%", "0%")</f>
        <v/>
      </c>
      <c r="U16" s="8">
        <f>IF(AND(COUNT(U14:U13)&gt;0, U14&gt;0), ROUND(COUNTIF(U14:U13, "&gt;="&amp;U14) / COUNT(U14:U13) * 100, 2) &amp; "%", "0%")</f>
        <v/>
      </c>
      <c r="V16" s="8">
        <f>IF(AND(COUNT(V14:V13)&gt;0, V14&gt;0), ROUND(COUNTIF(V14:V13, "&gt;="&amp;V14) / COUNT(V14:V13) * 100, 2) &amp; "%", "0%")</f>
        <v/>
      </c>
      <c r="W16" s="8">
        <f>IF(AND(COUNT(W14:W13)&gt;0, W14&gt;0), ROUND(COUNTIF(W14:W13, "&gt;="&amp;W14) / COUNT(W14:W13) * 100, 2) &amp; "%", "0%")</f>
        <v/>
      </c>
      <c r="X16" s="8">
        <f>IF(AND(COUNT(X14:X13)&gt;0, X14&gt;0), ROUND(COUNTIF(X14:X13, "&gt;="&amp;X14) / COUNT(X14:X13) * 100, 2) &amp; "%", "0%")</f>
        <v/>
      </c>
      <c r="Y16" s="8">
        <f>IF(AND(COUNT(Y14:Y13)&gt;0, Y14&gt;0), ROUND(COUNTIF(Y14:Y13, "&gt;="&amp;Y14) / COUNT(Y14:Y13) * 100, 2) &amp; "%", "0%")</f>
        <v/>
      </c>
      <c r="Z16" s="8">
        <f>IF(AND(COUNT(Z14:Z13)&gt;0, Z14&gt;0), ROUND(COUNTIF(Z14:Z13, "&gt;="&amp;Z14) / COUNT(Z14:Z13) * 100, 2) &amp; "%", "0%")</f>
        <v/>
      </c>
      <c r="AA16" s="8">
        <f>IF(AND(COUNT(AA14:AA13)&gt;0, AA14&gt;0), ROUND(COUNTIF(AA14:AA13, "&gt;="&amp;AA14) / COUNT(AA14:AA13) * 100, 2) &amp; "%", "0%")</f>
        <v/>
      </c>
      <c r="AB16" s="8">
        <f>IF(AND(COUNT(AB14:AB13)&gt;0, AB14&gt;0), ROUND(COUNTIF(AB14:AB13, "&gt;="&amp;AB14) / COUNT(AB14:AB13) * 100, 2) &amp; "%", "0%")</f>
        <v/>
      </c>
      <c r="AC16" s="8">
        <f>IF(AND(COUNT(AC14:AC13)&gt;0, AC14&gt;0), ROUND(COUNTIF(AC14:AC13, "&gt;="&amp;AC14) / COUNT(AC14:AC13) * 100, 2) &amp; "%", "0%")</f>
        <v/>
      </c>
      <c r="AD16" s="8">
        <f>IF(AND(COUNT(AD14:AD13)&gt;0, AD14&gt;0), ROUND(COUNTIF(AD14:AD13, "&gt;="&amp;AD14) / COUNT(AD14:AD13) * 100, 2) &amp; "%", "0%")</f>
        <v/>
      </c>
      <c r="AE16" s="8">
        <f>IF(AND(COUNT(AE14:AE13)&gt;0, AE14&gt;0), ROUND(COUNTIF(AE14:AE13, "&gt;="&amp;AE14) / COUNT(AE14:AE13) * 100, 2) &amp; "%", "0%")</f>
        <v/>
      </c>
      <c r="AF16" s="27">
        <f>IF(AND(COUNT(AF14:AF13)&gt;0, AF14&gt;0), ROUND(COUNTIF(AF14:AF13, "&gt;="&amp;AF14) / COUNT(AF14:AF13)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27" t="n">
        <v>0</v>
      </c>
    </row>
    <row r="19">
      <c r="B19" s="28" t="inlineStr">
        <is>
          <t>CO attainment through FA-PR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  <row r="24">
      <c r="B24" s="8" t="inlineStr">
        <is>
          <t>CO4</t>
        </is>
      </c>
      <c r="C24" s="9" t="n">
        <v>0</v>
      </c>
      <c r="D24" s="8" t="n">
        <v>0</v>
      </c>
    </row>
    <row r="25">
      <c r="B25" s="8" t="inlineStr">
        <is>
          <t>CO5</t>
        </is>
      </c>
      <c r="C25" s="9" t="n">
        <v>0</v>
      </c>
      <c r="D25" s="8" t="n">
        <v>0</v>
      </c>
    </row>
    <row r="26">
      <c r="B26" s="8" t="inlineStr">
        <is>
          <t>CO6</t>
        </is>
      </c>
      <c r="C26" s="9" t="n">
        <v>0</v>
      </c>
      <c r="D26" s="8" t="n">
        <v>0</v>
      </c>
    </row>
  </sheetData>
  <mergeCells count="26">
    <mergeCell ref="C3:M3"/>
    <mergeCell ref="C11:C13"/>
    <mergeCell ref="C9:K9"/>
    <mergeCell ref="AF11:AF13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26" t="inlineStr">
        <is>
          <t>Average</t>
        </is>
      </c>
      <c r="D11" s="8">
        <f>IFERROR(ROUND(AVERAGE(D11:D10), 2), 0)</f>
        <v/>
      </c>
      <c r="E11" s="8">
        <f>IFERROR(ROUND(AVERAGE(E11:E10), 2), 0)</f>
        <v/>
      </c>
      <c r="F11" s="8">
        <f>IFERROR(ROUND(AVERAGE(F11:F10), 2), 0)</f>
        <v/>
      </c>
      <c r="G11" s="8">
        <f>IFERROR(ROUND(AVERAGE(G11:G10), 2), 0)</f>
        <v/>
      </c>
      <c r="H11" s="8">
        <f>IFERROR(ROUND(AVERAGE(H11:H10), 2), 0)</f>
        <v/>
      </c>
      <c r="I11" s="8">
        <f>IFERROR(ROUND(AVERAGE(I11:I10), 2), 0)</f>
        <v/>
      </c>
      <c r="J11" s="8">
        <f>IFERROR(ROUND(AVERAGE(J11:J10), 2), 0)</f>
        <v/>
      </c>
    </row>
    <row r="12">
      <c r="A12" s="26" t="inlineStr">
        <is>
          <t>Total Appeared</t>
        </is>
      </c>
      <c r="D12" s="8">
        <f>COUNT(D11:D10)</f>
        <v/>
      </c>
      <c r="E12" s="8">
        <f>COUNT(E11:E10)</f>
        <v/>
      </c>
      <c r="F12" s="8">
        <f>COUNT(F11:F10)</f>
        <v/>
      </c>
      <c r="G12" s="8">
        <f>COUNT(G11:G10)</f>
        <v/>
      </c>
      <c r="H12" s="8">
        <f>COUNT(H11:H10)</f>
        <v/>
      </c>
      <c r="I12" s="8">
        <f>COUNT(I11:I10)</f>
        <v/>
      </c>
      <c r="J12" s="8">
        <f>COUNT(J11:J10)</f>
        <v/>
      </c>
    </row>
    <row r="13">
      <c r="A13" s="26" t="inlineStr">
        <is>
          <t>% above Avg</t>
        </is>
      </c>
      <c r="D13" s="8">
        <f>IF(COUNT(D11:D10)&gt;0, ROUND(COUNTIF(D11:D10, "&gt;="&amp;D11) / COUNT(D11:D10) * 100, 2) &amp; "%", "0%")</f>
        <v/>
      </c>
      <c r="E13" s="8">
        <f>IF(COUNT(E11:E10)&gt;0, ROUND(COUNTIF(E11:E10, "&gt;="&amp;E11) / COUNT(E11:E10) * 100, 2) &amp; "%", "0%")</f>
        <v/>
      </c>
      <c r="F13" s="8">
        <f>IF(COUNT(F11:F10)&gt;0, ROUND(COUNTIF(F11:F10, "&gt;="&amp;F11) / COUNT(F11:F10) * 100, 2) &amp; "%", "0%")</f>
        <v/>
      </c>
      <c r="G13" s="8">
        <f>IF(COUNT(G11:G10)&gt;0, ROUND(COUNTIF(G11:G10, "&gt;="&amp;G11) / COUNT(G11:G10) * 100, 2) &amp; "%", "0%")</f>
        <v/>
      </c>
      <c r="H13" s="8">
        <f>IF(COUNT(H11:H10)&gt;0, ROUND(COUNTIF(H11:H10, "&gt;="&amp;H11) / COUNT(H11:H10) * 100, 2) &amp; "%", "0%")</f>
        <v/>
      </c>
      <c r="I13" s="8">
        <f>IF(COUNT(I11:I10)&gt;0, ROUND(COUNTIF(I11:I10, "&gt;="&amp;I11) / COUNT(I11:I10) * 100, 2) &amp; "%", "0%")</f>
        <v/>
      </c>
      <c r="J13" s="8">
        <f>IF(COUNT(J11:J10)&gt;0, ROUND(COUNTIF(J11:J10, "&gt;="&amp;J11) / COUNT(J11:J10) * 100, 2) &amp; "%", "0%")</f>
        <v/>
      </c>
    </row>
    <row r="14">
      <c r="A14" s="26" t="inlineStr">
        <is>
          <t>CO Attainment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</row>
    <row r="16">
      <c r="B16" s="32" t="inlineStr">
        <is>
          <t>CO attainment through SLA</t>
        </is>
      </c>
    </row>
    <row r="17">
      <c r="B17" s="14" t="inlineStr">
        <is>
          <t>% CO Attained</t>
        </is>
      </c>
      <c r="C17" s="14" t="inlineStr">
        <is>
          <t>CO attainment</t>
        </is>
      </c>
    </row>
  </sheetData>
  <mergeCells count="22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8:B8"/>
    <mergeCell ref="C17:D17"/>
    <mergeCell ref="B16:D16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% above Avg</t>
        </is>
      </c>
      <c r="D14" s="27" t="inlineStr">
        <is>
          <t>0%</t>
        </is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% above Avg</t>
        </is>
      </c>
      <c r="D14" s="27" t="inlineStr">
        <is>
          <t>0%</t>
        </is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26" t="inlineStr">
        <is>
          <t>Average Rating</t>
        </is>
      </c>
    </row>
    <row r="12">
      <c r="A12" s="26" t="inlineStr">
        <is>
          <t>Total Responses</t>
        </is>
      </c>
    </row>
    <row r="14">
      <c r="B14" s="32" t="inlineStr">
        <is>
          <t>CO attainment through CES</t>
        </is>
      </c>
    </row>
    <row r="15">
      <c r="B15" s="14" t="inlineStr">
        <is>
          <t>Course Outcome</t>
        </is>
      </c>
      <c r="C15" s="14" t="inlineStr">
        <is>
          <t>Avg Rating</t>
        </is>
      </c>
    </row>
  </sheetData>
  <mergeCells count="20">
    <mergeCell ref="B14:D14"/>
    <mergeCell ref="C3:M3"/>
    <mergeCell ref="C15:D15"/>
    <mergeCell ref="C9:K9"/>
    <mergeCell ref="A12:C12"/>
    <mergeCell ref="A1:B3"/>
    <mergeCell ref="A6:B6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3" t="inlineStr">
        <is>
          <t>CO No.</t>
        </is>
      </c>
      <c r="B12" s="34" t="inlineStr">
        <is>
          <t>POs</t>
        </is>
      </c>
      <c r="I12" s="34" t="inlineStr">
        <is>
          <t>PSOs</t>
        </is>
      </c>
      <c r="M12" s="35" t="inlineStr">
        <is>
          <t>Course outcomes</t>
        </is>
      </c>
    </row>
    <row r="13">
      <c r="B13" s="33" t="inlineStr">
        <is>
          <t>PO 1</t>
        </is>
      </c>
      <c r="C13" s="33" t="inlineStr">
        <is>
          <t>PO 2</t>
        </is>
      </c>
      <c r="D13" s="33" t="inlineStr">
        <is>
          <t>PO 3</t>
        </is>
      </c>
      <c r="E13" s="33" t="inlineStr">
        <is>
          <t>PO 4</t>
        </is>
      </c>
      <c r="F13" s="33" t="inlineStr">
        <is>
          <t>PO 5</t>
        </is>
      </c>
      <c r="G13" s="33" t="inlineStr">
        <is>
          <t>PO 6</t>
        </is>
      </c>
      <c r="H13" s="33" t="inlineStr">
        <is>
          <t>PO 7</t>
        </is>
      </c>
      <c r="I13" s="33" t="inlineStr">
        <is>
          <t>PSO 1</t>
        </is>
      </c>
      <c r="J13" s="33" t="inlineStr">
        <is>
          <t>PSO 2</t>
        </is>
      </c>
      <c r="K13" s="33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3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3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3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3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3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3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6" t="inlineStr">
        <is>
          <t>Direct CO Attainment</t>
        </is>
      </c>
    </row>
    <row r="25">
      <c r="A25" s="37" t="inlineStr">
        <is>
          <t>CO</t>
        </is>
      </c>
      <c r="B25" s="37" t="inlineStr">
        <is>
          <t>Attainment</t>
        </is>
      </c>
    </row>
    <row r="26">
      <c r="A26" s="14" t="inlineStr">
        <is>
          <t>CO1</t>
        </is>
      </c>
      <c r="B26" s="14" t="n">
        <v>1.246666666666667</v>
      </c>
    </row>
    <row r="27">
      <c r="A27" s="14" t="inlineStr">
        <is>
          <t>CO201.2</t>
        </is>
      </c>
      <c r="B27" s="14" t="n">
        <v>1.273333333333333</v>
      </c>
    </row>
    <row r="28">
      <c r="A28" s="14" t="inlineStr">
        <is>
          <t>CO201.3</t>
        </is>
      </c>
      <c r="B28" s="14" t="n">
        <v>1.14</v>
      </c>
    </row>
    <row r="29">
      <c r="A29" s="14" t="inlineStr">
        <is>
          <t>CO201.4</t>
        </is>
      </c>
      <c r="B29" s="14" t="n">
        <v>1.166666666666667</v>
      </c>
    </row>
    <row r="30">
      <c r="A30" s="14" t="inlineStr">
        <is>
          <t>CO201.5</t>
        </is>
      </c>
      <c r="B30" s="14" t="n">
        <v>1.22</v>
      </c>
    </row>
    <row r="31">
      <c r="A31" s="14" t="inlineStr">
        <is>
          <t>CO201.6</t>
        </is>
      </c>
      <c r="B31" s="14" t="n">
        <v>1.38</v>
      </c>
    </row>
    <row r="32">
      <c r="A32" s="38" t="inlineStr">
        <is>
          <t>Average</t>
        </is>
      </c>
      <c r="B32" s="38" t="n">
        <v>1.24</v>
      </c>
    </row>
    <row r="34">
      <c r="B34" s="36" t="inlineStr">
        <is>
          <t>Direct POs &amp; PSOs Attainment</t>
        </is>
      </c>
    </row>
    <row r="35">
      <c r="B35" s="39" t="inlineStr">
        <is>
          <t>PO 1</t>
        </is>
      </c>
      <c r="C35" s="39" t="inlineStr">
        <is>
          <t>PO 2</t>
        </is>
      </c>
      <c r="D35" s="39" t="inlineStr">
        <is>
          <t>PO 3</t>
        </is>
      </c>
      <c r="E35" s="39" t="inlineStr">
        <is>
          <t>PO 4</t>
        </is>
      </c>
      <c r="F35" s="39" t="inlineStr">
        <is>
          <t>PO 5</t>
        </is>
      </c>
      <c r="G35" s="39" t="inlineStr">
        <is>
          <t>PO 6</t>
        </is>
      </c>
      <c r="H35" s="39" t="inlineStr">
        <is>
          <t>PO 7</t>
        </is>
      </c>
      <c r="I35" s="39" t="inlineStr">
        <is>
          <t>PSO 1</t>
        </is>
      </c>
      <c r="J35" s="39" t="inlineStr">
        <is>
          <t>PSO 2</t>
        </is>
      </c>
      <c r="K35" s="39" t="inlineStr">
        <is>
          <t>PSO 3</t>
        </is>
      </c>
    </row>
    <row r="36">
      <c r="B36" s="39" t="n">
        <v>1.24</v>
      </c>
      <c r="C36" s="39" t="n">
        <v>1.24</v>
      </c>
      <c r="D36" s="39" t="n">
        <v>1.24</v>
      </c>
      <c r="E36" s="39" t="n">
        <v>1.24</v>
      </c>
      <c r="F36" s="39" t="n">
        <v>1.14</v>
      </c>
      <c r="G36" s="39" t="n">
        <v>1.23</v>
      </c>
      <c r="H36" s="39" t="n">
        <v>1.24</v>
      </c>
      <c r="I36" s="39" t="n">
        <v>1.21</v>
      </c>
      <c r="J36" s="39" t="n">
        <v>1.25</v>
      </c>
      <c r="K36" s="39" t="n">
        <v>1.21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2026-03-09T14:55:14Z</dcterms:created>
  <dcterms:modified xsi:type="dcterms:W3CDTF">2026-03-09T14:55:15Z</dcterms:modified>
</cp:coreProperties>
</file>