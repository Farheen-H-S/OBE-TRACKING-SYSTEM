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CO303</t>
        </is>
      </c>
      <c r="C13" s="8" t="n">
        <v>0.64</v>
      </c>
      <c r="D13" s="9" t="n">
        <v>1</v>
      </c>
      <c r="E13" s="8" t="n">
        <v>64</v>
      </c>
      <c r="F13" s="8" t="n">
        <v>0.36</v>
      </c>
      <c r="G13" s="10" t="inlineStr">
        <is>
          <t>Course Target is not achieved</t>
        </is>
      </c>
      <c r="H13" s="11" t="inlineStr">
        <is>
          <t>fxhf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2.5</v>
      </c>
      <c r="D13" s="8" t="n">
        <v>2.25</v>
      </c>
      <c r="E13" s="8" t="n">
        <v>1.25</v>
      </c>
      <c r="F13" s="8" t="inlineStr">
        <is>
          <t>-</t>
        </is>
      </c>
      <c r="G13" s="8" t="inlineStr">
        <is>
          <t>-</t>
        </is>
      </c>
      <c r="H13" s="14" t="n">
        <v>2</v>
      </c>
      <c r="J13" s="8" t="inlineStr">
        <is>
          <t>-</t>
        </is>
      </c>
      <c r="K13" s="8" t="inlineStr">
        <is>
          <t>-</t>
        </is>
      </c>
      <c r="L13" s="14" t="inlineStr">
        <is>
          <t>-</t>
        </is>
      </c>
      <c r="N13" s="14" t="n">
        <v>0.8</v>
      </c>
      <c r="O13" s="14" t="n">
        <v>2.25</v>
      </c>
      <c r="P13" s="14" t="n">
        <v>1.09</v>
      </c>
      <c r="Q13" s="15" t="n">
        <v>1</v>
      </c>
      <c r="R13" s="14" t="n">
        <v>-0.09</v>
      </c>
      <c r="S13" s="15" t="n">
        <v>1</v>
      </c>
    </row>
    <row r="14">
      <c r="B14" s="16" t="inlineStr">
        <is>
          <t>Attainment of CO</t>
        </is>
      </c>
      <c r="P14" s="17">
        <f>AVERAGE(P13:P13)</f>
        <v/>
      </c>
      <c r="Q14" s="17" t="inlineStr"/>
      <c r="R14" s="17">
        <f>AVERAGE(R13:R13)</f>
        <v/>
      </c>
      <c r="S14" s="17" t="inlineStr"/>
    </row>
    <row r="16">
      <c r="B16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B14:O14"/>
    <mergeCell ref="C7:K7"/>
    <mergeCell ref="A5:B5"/>
    <mergeCell ref="C2:M2"/>
    <mergeCell ref="A8:B8"/>
    <mergeCell ref="C6:K6"/>
    <mergeCell ref="A4:B4"/>
    <mergeCell ref="C5:K5"/>
    <mergeCell ref="B16:S16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n">
        <v>1</v>
      </c>
      <c r="F14" s="8" t="n">
        <v>1</v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n">
        <v>2</v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n">
        <v>1</v>
      </c>
      <c r="G15" s="8" t="n">
        <v>1</v>
      </c>
      <c r="H15" s="8" t="n">
        <v>1</v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n">
        <v>3</v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n">
        <v>1</v>
      </c>
      <c r="I16" s="8" t="n">
        <v>1</v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n">
        <v>2</v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n">
        <v>1</v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n">
        <v>1</v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n">
        <v>1</v>
      </c>
      <c r="H18" s="8" t="inlineStr">
        <is>
          <t>-</t>
        </is>
      </c>
      <c r="I18" s="8" t="n">
        <v>1</v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n">
        <v>2</v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n">
        <v>1</v>
      </c>
      <c r="F19" s="8" t="n">
        <v>1</v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n">
        <v>2</v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n">
        <v>1</v>
      </c>
      <c r="F20" s="8" t="n">
        <v>1</v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n">
        <v>2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2</v>
      </c>
      <c r="J21" s="8" t="n">
        <v>0</v>
      </c>
      <c r="K21" s="8" t="n">
        <v>0</v>
      </c>
      <c r="L21" s="8" t="n">
        <v>2</v>
      </c>
      <c r="M21" s="8" t="n">
        <v>2</v>
      </c>
      <c r="N21" s="8" t="n">
        <v>2</v>
      </c>
      <c r="O21" s="8" t="n">
        <v>2</v>
      </c>
      <c r="P21" s="8" t="n">
        <v>2</v>
      </c>
      <c r="Q21" s="8" t="n">
        <v>0</v>
      </c>
      <c r="R21" s="8" t="n">
        <v>0</v>
      </c>
      <c r="S21" s="8" t="n">
        <v>16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n">
        <v>1</v>
      </c>
      <c r="G22" s="8" t="n">
        <v>1</v>
      </c>
      <c r="H22" s="8" t="n">
        <v>1</v>
      </c>
      <c r="I22" s="8" t="n">
        <v>1</v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n">
        <v>4</v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>
        <v>1</v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n">
        <v>1</v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0</v>
      </c>
      <c r="M29" s="8" t="n">
        <v>0</v>
      </c>
      <c r="N29" s="8" t="n">
        <v>2</v>
      </c>
      <c r="O29" s="8" t="n">
        <v>2</v>
      </c>
      <c r="P29" s="8" t="n">
        <v>2</v>
      </c>
      <c r="Q29" s="8" t="n">
        <v>2</v>
      </c>
      <c r="R29" s="8" t="n">
        <v>2</v>
      </c>
      <c r="S29" s="8" t="n">
        <v>15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28">
        <f>IF(AND(COUNT(S14:S71)&gt;0, S72&gt;0),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3</v>
      </c>
      <c r="I75" s="8" t="n">
        <v>0</v>
      </c>
      <c r="J75" s="8" t="n">
        <v>2.25</v>
      </c>
      <c r="K75" s="8" t="n">
        <v>1.25</v>
      </c>
      <c r="L75" s="8" t="n">
        <v>1.25</v>
      </c>
      <c r="M75" s="8" t="n">
        <v>1.25</v>
      </c>
      <c r="N75" s="8" t="n">
        <v>3</v>
      </c>
      <c r="O75" s="8" t="n">
        <v>3</v>
      </c>
      <c r="P75" s="8" t="n">
        <v>3</v>
      </c>
      <c r="Q75" s="8" t="n">
        <v>1.25</v>
      </c>
      <c r="R75" s="8" t="n">
        <v>1.25</v>
      </c>
      <c r="S75" s="28" t="n">
        <v>0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23.4</v>
      </c>
      <c r="D79" s="8" t="n">
        <v>1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8" t="n">
        <v>4</v>
      </c>
      <c r="R21" s="8" t="n">
        <v>4</v>
      </c>
      <c r="S21" s="8" t="n">
        <v>25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1</v>
      </c>
      <c r="F29" s="8" t="n">
        <v>1</v>
      </c>
      <c r="G29" s="8" t="n">
        <v>1</v>
      </c>
      <c r="H29" s="8" t="n">
        <v>0</v>
      </c>
      <c r="I29" s="8" t="n">
        <v>1</v>
      </c>
      <c r="J29" s="8" t="n">
        <v>1</v>
      </c>
      <c r="K29" s="8" t="n">
        <v>3</v>
      </c>
      <c r="L29" s="8" t="n">
        <v>3</v>
      </c>
      <c r="M29" s="8" t="n">
        <v>3</v>
      </c>
      <c r="N29" s="8" t="n">
        <v>3</v>
      </c>
      <c r="O29" s="8" t="n">
        <v>3</v>
      </c>
      <c r="P29" s="8" t="n">
        <v>3</v>
      </c>
      <c r="Q29" s="8" t="n">
        <v>3</v>
      </c>
      <c r="R29" s="8" t="n">
        <v>3</v>
      </c>
      <c r="S29" s="8" t="n">
        <v>22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28">
        <f>IF(AND(COUNT(S14:S71)&gt;0, S72&gt;0),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1.25</v>
      </c>
      <c r="I75" s="8" t="n">
        <v>3</v>
      </c>
      <c r="J75" s="8" t="n">
        <v>3</v>
      </c>
      <c r="K75" s="8" t="n">
        <v>1.25</v>
      </c>
      <c r="L75" s="8" t="n">
        <v>1.25</v>
      </c>
      <c r="M75" s="8" t="n">
        <v>1.25</v>
      </c>
      <c r="N75" s="8" t="n">
        <v>1.25</v>
      </c>
      <c r="O75" s="8" t="n">
        <v>1.25</v>
      </c>
      <c r="P75" s="8" t="n">
        <v>1.25</v>
      </c>
      <c r="Q75" s="8" t="n">
        <v>1.25</v>
      </c>
      <c r="R75" s="8" t="n">
        <v>1.25</v>
      </c>
      <c r="S75" s="28" t="n">
        <v>1.25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53.57</v>
      </c>
      <c r="D79" s="8" t="n">
        <v>1.5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5" t="inlineStr">
        <is>
          <t>P6</t>
        </is>
      </c>
      <c r="K11" s="25" t="inlineStr">
        <is>
          <t>P7</t>
        </is>
      </c>
      <c r="L11" s="25" t="inlineStr">
        <is>
          <t>P8</t>
        </is>
      </c>
      <c r="M11" s="25" t="inlineStr">
        <is>
          <t>P9</t>
        </is>
      </c>
      <c r="N11" s="25" t="inlineStr">
        <is>
          <t>P10</t>
        </is>
      </c>
      <c r="O11" s="25" t="inlineStr">
        <is>
          <t>P11</t>
        </is>
      </c>
      <c r="P11" s="25" t="inlineStr">
        <is>
          <t>P12</t>
        </is>
      </c>
      <c r="Q11" s="25" t="inlineStr">
        <is>
          <t>P13</t>
        </is>
      </c>
      <c r="R11" s="25" t="inlineStr">
        <is>
          <t>P14</t>
        </is>
      </c>
      <c r="S11" s="25" t="inlineStr">
        <is>
          <t>P15</t>
        </is>
      </c>
      <c r="T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3" t="n">
        <v>25</v>
      </c>
      <c r="K12" s="23" t="n">
        <v>25</v>
      </c>
      <c r="L12" s="23" t="n">
        <v>25</v>
      </c>
      <c r="M12" s="23" t="n">
        <v>25</v>
      </c>
      <c r="N12" s="23" t="n">
        <v>25</v>
      </c>
      <c r="O12" s="23" t="n">
        <v>25</v>
      </c>
      <c r="P12" s="23" t="n">
        <v>25</v>
      </c>
      <c r="Q12" s="23" t="n">
        <v>25</v>
      </c>
      <c r="R12" s="23" t="n">
        <v>25</v>
      </c>
      <c r="S12" s="23" t="n">
        <v>25</v>
      </c>
      <c r="T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CO1</t>
        </is>
      </c>
      <c r="G13" s="32" t="inlineStr">
        <is>
          <t>CO1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CO3</t>
        </is>
      </c>
      <c r="L13" s="32" t="inlineStr">
        <is>
          <t>CO3</t>
        </is>
      </c>
      <c r="M13" s="32" t="inlineStr">
        <is>
          <t>CO3</t>
        </is>
      </c>
      <c r="N13" s="32" t="inlineStr">
        <is>
          <t>CO4</t>
        </is>
      </c>
      <c r="O13" s="32" t="inlineStr">
        <is>
          <t>CO4</t>
        </is>
      </c>
      <c r="P13" s="32" t="inlineStr">
        <is>
          <t>CO4</t>
        </is>
      </c>
      <c r="Q13" s="32" t="inlineStr">
        <is>
          <t>CO5</t>
        </is>
      </c>
      <c r="R13" s="32" t="inlineStr">
        <is>
          <t>CO5</t>
        </is>
      </c>
      <c r="S13" s="32" t="inlineStr">
        <is>
          <t>CO5</t>
        </is>
      </c>
      <c r="T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  <c r="T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  <c r="T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  <c r="T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  <c r="T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  <c r="T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  <c r="T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  <c r="T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  <c r="T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  <c r="T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  <c r="T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  <c r="T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  <c r="T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  <c r="T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  <c r="T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  <c r="T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  <c r="T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  <c r="T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  <c r="T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  <c r="T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  <c r="T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  <c r="T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  <c r="T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  <c r="T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  <c r="T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  <c r="T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  <c r="T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  <c r="T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8">
        <f>IFERROR(ROUND(AVERAGE(S14:S71), 2), 0)</f>
        <v/>
      </c>
      <c r="T72" s="28">
        <f>IFERROR(ROUND(AVERAGE(T14:T71),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8">
        <f>COUNT(S14:S71)</f>
        <v/>
      </c>
      <c r="T73" s="28">
        <f>COUNT(T14:T71)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8">
        <f>IF(AND(COUNT(S14:S71)&gt;0, S72&gt;0), ROUND(COUNTIF(S14:S71, "&gt;="&amp;S72) / COUNT(S14:S71) * 100, 2) &amp; "%", "0%")</f>
        <v/>
      </c>
      <c r="T74" s="28">
        <f>IF(AND(COUNT(T14:T71)&gt;0, T72&gt;0), ROUND(COUNTIF(T14:T71, "&gt;="&amp;T72) / COUNT(T14:T71) * 100, 2) &amp; "%", "0%")</f>
        <v/>
      </c>
    </row>
    <row r="75">
      <c r="A75" s="27" t="inlineStr">
        <is>
          <t>CO Attainment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28" t="n">
        <v>0</v>
      </c>
    </row>
    <row r="77">
      <c r="B77" s="29" t="inlineStr">
        <is>
          <t>CO attainment through FA-PR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0</v>
      </c>
      <c r="D79" s="8" t="n">
        <v>0</v>
      </c>
    </row>
    <row r="80">
      <c r="B80" s="8" t="inlineStr">
        <is>
          <t>CO2</t>
        </is>
      </c>
      <c r="C80" s="9" t="n">
        <v>0</v>
      </c>
      <c r="D80" s="8" t="n">
        <v>0</v>
      </c>
    </row>
    <row r="81">
      <c r="B81" s="8" t="inlineStr">
        <is>
          <t>CO3</t>
        </is>
      </c>
      <c r="C81" s="9" t="n">
        <v>0</v>
      </c>
      <c r="D81" s="8" t="n">
        <v>0</v>
      </c>
    </row>
    <row r="82">
      <c r="B82" s="8" t="inlineStr">
        <is>
          <t>CO4</t>
        </is>
      </c>
      <c r="C82" s="9" t="n">
        <v>0</v>
      </c>
      <c r="D82" s="8" t="n">
        <v>0</v>
      </c>
    </row>
    <row r="83">
      <c r="B83" s="8" t="inlineStr">
        <is>
          <t>CO5</t>
        </is>
      </c>
      <c r="C83" s="9" t="n">
        <v>0</v>
      </c>
      <c r="D83" s="8" t="n">
        <v>0</v>
      </c>
    </row>
  </sheetData>
  <mergeCells count="26">
    <mergeCell ref="C3:M3"/>
    <mergeCell ref="T11:T1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n">
        <v>2</v>
      </c>
      <c r="E18" s="8" t="n">
        <v>0</v>
      </c>
      <c r="F18" s="8" t="n">
        <v>0</v>
      </c>
      <c r="G18" s="8" t="n">
        <v>1</v>
      </c>
      <c r="H18" s="8" t="inlineStr">
        <is>
          <t>-</t>
        </is>
      </c>
      <c r="I18" s="8" t="inlineStr">
        <is>
          <t>-</t>
        </is>
      </c>
      <c r="J18" s="8" t="n">
        <v>3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n">
        <v>0</v>
      </c>
      <c r="E26" s="8" t="n">
        <v>2</v>
      </c>
      <c r="F26" s="8" t="n">
        <v>2</v>
      </c>
      <c r="G26" s="8" t="n">
        <v>0</v>
      </c>
      <c r="H26" s="8" t="inlineStr">
        <is>
          <t>-</t>
        </is>
      </c>
      <c r="I26" s="8" t="inlineStr">
        <is>
          <t>-</t>
        </is>
      </c>
      <c r="J26" s="8" t="n">
        <v>4</v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</row>
    <row r="69">
      <c r="A69" s="27" t="inlineStr">
        <is>
          <t>Average</t>
        </is>
      </c>
      <c r="D69" s="8">
        <f>IFERROR(ROUND(AVERAGE(D11:D68), 2), 0)</f>
        <v/>
      </c>
      <c r="E69" s="8">
        <f>IFERROR(ROUND(AVERAGE(E11:E68), 2), 0)</f>
        <v/>
      </c>
      <c r="F69" s="8">
        <f>IFERROR(ROUND(AVERAGE(F11:F68), 2), 0)</f>
        <v/>
      </c>
      <c r="G69" s="8">
        <f>IFERROR(ROUND(AVERAGE(G11:G68), 2), 0)</f>
        <v/>
      </c>
      <c r="H69" s="8">
        <f>IFERROR(ROUND(AVERAGE(H11:H68), 2), 0)</f>
        <v/>
      </c>
      <c r="I69" s="8">
        <f>IFERROR(ROUND(AVERAGE(I11:I68), 2), 0)</f>
        <v/>
      </c>
      <c r="J69" s="8">
        <f>IFERROR(ROUND(AVERAGE(J11:J68), 2), 0)</f>
        <v/>
      </c>
    </row>
    <row r="70">
      <c r="A70" s="27" t="inlineStr">
        <is>
          <t>Total Appeared</t>
        </is>
      </c>
      <c r="D70" s="8">
        <f>COUNT(D11:D68)</f>
        <v/>
      </c>
      <c r="E70" s="8">
        <f>COUNT(E11:E68)</f>
        <v/>
      </c>
      <c r="F70" s="8">
        <f>COUNT(F11:F68)</f>
        <v/>
      </c>
      <c r="G70" s="8">
        <f>COUNT(G11:G68)</f>
        <v/>
      </c>
      <c r="H70" s="8">
        <f>COUNT(H11:H68)</f>
        <v/>
      </c>
      <c r="I70" s="8">
        <f>COUNT(I11:I68)</f>
        <v/>
      </c>
      <c r="J70" s="8">
        <f>COUNT(J11:J68)</f>
        <v/>
      </c>
    </row>
    <row r="71">
      <c r="A71" s="27" t="inlineStr">
        <is>
          <t>% above Avg</t>
        </is>
      </c>
      <c r="D71" s="8">
        <f>IF(COUNT(D11:D68)&gt;0, ROUND(COUNTIF(D11:D68, "&gt;="&amp;D69) / COUNT(D11:D68) * 100, 2) &amp; "%", "0%")</f>
        <v/>
      </c>
      <c r="E71" s="8">
        <f>IF(COUNT(E11:E68)&gt;0, ROUND(COUNTIF(E11:E68, "&gt;="&amp;E69) / COUNT(E11:E68) * 100, 2) &amp; "%", "0%")</f>
        <v/>
      </c>
      <c r="F71" s="8">
        <f>IF(COUNT(F11:F68)&gt;0, ROUND(COUNTIF(F11:F68, "&gt;="&amp;F69) / COUNT(F11:F68) * 100, 2) &amp; "%", "0%")</f>
        <v/>
      </c>
      <c r="G71" s="8">
        <f>IF(COUNT(G11:G68)&gt;0, ROUND(COUNTIF(G11:G68, "&gt;="&amp;G69) / COUNT(G11:G68) * 100, 2) &amp; "%", "0%")</f>
        <v/>
      </c>
      <c r="H71" s="8">
        <f>IF(COUNT(H11:H68)&gt;0, ROUND(COUNTIF(H11:H68, "&gt;="&amp;H69) / COUNT(H11:H68) * 100, 2) &amp; "%", "0%")</f>
        <v/>
      </c>
      <c r="I71" s="8">
        <f>IF(COUNT(I11:I68)&gt;0, ROUND(COUNTIF(I11:I68, "&gt;="&amp;I69) / COUNT(I11:I68) * 100, 2) &amp; "%", "0%")</f>
        <v/>
      </c>
      <c r="J71" s="8">
        <f>IF(COUNT(J11:J68)&gt;0, ROUND(COUNTIF(J11:J68, "&gt;="&amp;J69) / COUNT(J11:J68) * 100, 2) &amp; "%", "0%")</f>
        <v/>
      </c>
    </row>
    <row r="72">
      <c r="A72" s="27" t="inlineStr">
        <is>
          <t>CO Attainment</t>
        </is>
      </c>
      <c r="D72" s="8" t="n">
        <v>1.25</v>
      </c>
      <c r="E72" s="8" t="n">
        <v>1.25</v>
      </c>
      <c r="F72" s="8" t="n">
        <v>1.25</v>
      </c>
      <c r="G72" s="8" t="n">
        <v>1.25</v>
      </c>
      <c r="H72" s="8" t="n">
        <v>0</v>
      </c>
      <c r="I72" s="8" t="n">
        <v>0</v>
      </c>
      <c r="J72" s="8" t="n">
        <v>1.25</v>
      </c>
    </row>
    <row r="74">
      <c r="B74" s="33" t="inlineStr">
        <is>
          <t>CO attainment through SLA</t>
        </is>
      </c>
    </row>
    <row r="75">
      <c r="B75" s="14" t="inlineStr">
        <is>
          <t>% CO Attained</t>
        </is>
      </c>
      <c r="C75" s="14" t="inlineStr">
        <is>
          <t>CO attainment</t>
        </is>
      </c>
    </row>
    <row r="76">
      <c r="B76" s="14" t="inlineStr">
        <is>
          <t>CO1</t>
        </is>
      </c>
      <c r="C76" s="15" t="n">
        <v>50</v>
      </c>
      <c r="D76" s="14" t="n">
        <v>1.25</v>
      </c>
    </row>
    <row r="77">
      <c r="B77" s="14" t="inlineStr">
        <is>
          <t>CO2</t>
        </is>
      </c>
      <c r="C77" s="15" t="n">
        <v>50</v>
      </c>
      <c r="D77" s="14" t="n">
        <v>1.25</v>
      </c>
    </row>
    <row r="78">
      <c r="B78" s="14" t="inlineStr">
        <is>
          <t>CO3</t>
        </is>
      </c>
      <c r="C78" s="15" t="n">
        <v>50</v>
      </c>
      <c r="D78" s="14" t="n">
        <v>1.25</v>
      </c>
    </row>
    <row r="79">
      <c r="B79" s="14" t="inlineStr">
        <is>
          <t>CO4</t>
        </is>
      </c>
      <c r="C79" s="15" t="n">
        <v>50</v>
      </c>
      <c r="D79" s="14" t="n">
        <v>1.25</v>
      </c>
    </row>
  </sheetData>
  <mergeCells count="22">
    <mergeCell ref="C3:M3"/>
    <mergeCell ref="C9:K9"/>
    <mergeCell ref="A1:B3"/>
    <mergeCell ref="A6:B6"/>
    <mergeCell ref="A71:C71"/>
    <mergeCell ref="A7:B7"/>
    <mergeCell ref="C1:M1"/>
    <mergeCell ref="B74:D74"/>
    <mergeCell ref="C75:D75"/>
    <mergeCell ref="C8:K8"/>
    <mergeCell ref="A72:C72"/>
    <mergeCell ref="C7:K7"/>
    <mergeCell ref="A5:B5"/>
    <mergeCell ref="C2:M2"/>
    <mergeCell ref="A8:B8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  <c r="E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  <c r="E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</row>
    <row r="69">
      <c r="A69" s="27" t="inlineStr">
        <is>
          <t>Average Rating</t>
        </is>
      </c>
      <c r="D69" s="8">
        <f>IFERROR(ROUND(AVERAGE(D11:D68), 2), 0)</f>
        <v/>
      </c>
    </row>
    <row r="70">
      <c r="A70" s="27" t="inlineStr">
        <is>
          <t>Total Responses</t>
        </is>
      </c>
      <c r="D70" s="8">
        <f>COUNT(D11:D68)</f>
        <v/>
      </c>
    </row>
    <row r="72">
      <c r="B72" s="33" t="inlineStr">
        <is>
          <t>CO attainment through CES</t>
        </is>
      </c>
    </row>
    <row r="73">
      <c r="B73" s="14" t="inlineStr">
        <is>
          <t>Course Outcome</t>
        </is>
      </c>
      <c r="C73" s="14" t="inlineStr">
        <is>
          <t>Avg Rating</t>
        </is>
      </c>
    </row>
    <row r="74">
      <c r="B74" s="14" t="inlineStr">
        <is>
          <t>CO1</t>
        </is>
      </c>
      <c r="C74" s="15" t="n">
        <v>0</v>
      </c>
      <c r="D74" s="14" t="inlineStr"/>
    </row>
  </sheetData>
  <mergeCells count="20">
    <mergeCell ref="C3:M3"/>
    <mergeCell ref="C9:K9"/>
    <mergeCell ref="A1:B3"/>
    <mergeCell ref="A6:B6"/>
    <mergeCell ref="C73:D73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B72:D72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inlineStr"/>
      <c r="F14" s="5" t="inlineStr"/>
      <c r="G14" s="5" t="n">
        <v>1</v>
      </c>
      <c r="H14" s="5" t="n">
        <v>2</v>
      </c>
      <c r="I14" s="5" t="inlineStr"/>
      <c r="J14" s="5" t="n">
        <v>1</v>
      </c>
      <c r="K14" s="5" t="n">
        <v>1</v>
      </c>
      <c r="M14" s="14" t="inlineStr">
        <is>
          <t>CO1</t>
        </is>
      </c>
      <c r="N14" s="14" t="inlineStr">
        <is>
          <t>Identify types of Cyber attacks and threats.</t>
        </is>
      </c>
    </row>
    <row r="15">
      <c r="A15" s="5" t="inlineStr">
        <is>
          <t>Average</t>
        </is>
      </c>
      <c r="B15" s="5" t="n">
        <v>2</v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n">
        <v>1</v>
      </c>
      <c r="H15" s="5" t="n">
        <v>2</v>
      </c>
      <c r="I15" s="5" t="inlineStr">
        <is>
          <t>-</t>
        </is>
      </c>
      <c r="J15" s="5" t="n">
        <v>1</v>
      </c>
      <c r="K15" s="5" t="n">
        <v>1</v>
      </c>
    </row>
    <row r="19">
      <c r="A19" s="37" t="inlineStr">
        <is>
          <t>Direct CO Attainment</t>
        </is>
      </c>
    </row>
    <row r="20">
      <c r="A20" s="38" t="inlineStr">
        <is>
          <t>CO</t>
        </is>
      </c>
      <c r="B20" s="38" t="inlineStr">
        <is>
          <t>Attainment</t>
        </is>
      </c>
    </row>
    <row r="21">
      <c r="A21" s="14" t="inlineStr">
        <is>
          <t>CO1</t>
        </is>
      </c>
      <c r="B21" s="14" t="n">
        <v>0.6400000000000001</v>
      </c>
    </row>
    <row r="22">
      <c r="A22" s="39" t="inlineStr">
        <is>
          <t>Average</t>
        </is>
      </c>
      <c r="B22" s="39" t="n">
        <v>0.64</v>
      </c>
    </row>
    <row r="24">
      <c r="B24" s="37" t="inlineStr">
        <is>
          <t>Direct POs &amp; PSOs Attainment</t>
        </is>
      </c>
    </row>
    <row r="25">
      <c r="B25" s="40" t="inlineStr">
        <is>
          <t>PO 1</t>
        </is>
      </c>
      <c r="C25" s="40" t="inlineStr">
        <is>
          <t>PO 2</t>
        </is>
      </c>
      <c r="D25" s="40" t="inlineStr">
        <is>
          <t>PO 3</t>
        </is>
      </c>
      <c r="E25" s="40" t="inlineStr">
        <is>
          <t>PO 4</t>
        </is>
      </c>
      <c r="F25" s="40" t="inlineStr">
        <is>
          <t>PO 5</t>
        </is>
      </c>
      <c r="G25" s="40" t="inlineStr">
        <is>
          <t>PO 6</t>
        </is>
      </c>
      <c r="H25" s="40" t="inlineStr">
        <is>
          <t>PO 7</t>
        </is>
      </c>
      <c r="I25" s="40" t="inlineStr">
        <is>
          <t>PSO 1</t>
        </is>
      </c>
      <c r="J25" s="40" t="inlineStr">
        <is>
          <t>PSO 2</t>
        </is>
      </c>
      <c r="K25" s="40" t="inlineStr">
        <is>
          <t>PSO 3</t>
        </is>
      </c>
    </row>
    <row r="26">
      <c r="B26" s="40" t="n">
        <v>0.64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0.64</v>
      </c>
      <c r="H26" s="40" t="n">
        <v>0.64</v>
      </c>
      <c r="I26" s="40" t="n">
        <v>0</v>
      </c>
      <c r="J26" s="40" t="n">
        <v>0.64</v>
      </c>
      <c r="K26" s="40" t="n">
        <v>0.64</v>
      </c>
    </row>
  </sheetData>
  <mergeCells count="21">
    <mergeCell ref="C3:M3"/>
    <mergeCell ref="C9:K9"/>
    <mergeCell ref="I12:K12"/>
    <mergeCell ref="B24:K24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A19:B1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2026-03-04T05:07:01Z</dcterms:created>
  <dcterms:modified xsi:type="dcterms:W3CDTF">2026-03-04T05:07:02Z</dcterms:modified>
</cp:coreProperties>
</file>