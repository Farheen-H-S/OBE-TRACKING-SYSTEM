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11595"/>
  </bookViews>
  <sheets>
    <sheet name="2024-25" sheetId="11" r:id="rId1"/>
    <sheet name="2023-24" sheetId="10" r:id="rId2"/>
    <sheet name="2022-23" sheetId="9" r:id="rId3"/>
    <sheet name="2021-22" sheetId="8" r:id="rId4"/>
    <sheet name="TSI AVG" sheetId="12" r:id="rId5"/>
    <sheet name="Target" sheetId="13" r:id="rId6"/>
    <sheet name="Sheet1" sheetId="14" r:id="rId7"/>
  </sheets>
  <definedNames>
    <definedName name="_xlnm._FilterDatabase" localSheetId="5" hidden="1">Target!$A$2:$K$39</definedName>
  </definedNames>
  <calcPr calcId="152511"/>
</workbook>
</file>

<file path=xl/calcChain.xml><?xml version="1.0" encoding="utf-8"?>
<calcChain xmlns="http://schemas.openxmlformats.org/spreadsheetml/2006/main">
  <c r="X42" i="8" l="1"/>
  <c r="W42" i="8"/>
  <c r="V42" i="8"/>
  <c r="U42" i="8"/>
  <c r="T42" i="8"/>
  <c r="S42" i="8"/>
  <c r="R42" i="8"/>
  <c r="Q42" i="8"/>
  <c r="P42" i="8"/>
  <c r="Q49" i="9"/>
  <c r="R49" i="9"/>
  <c r="S49" i="9"/>
  <c r="T49" i="9"/>
  <c r="U49" i="9"/>
  <c r="V49" i="9"/>
  <c r="W49" i="9"/>
  <c r="X49" i="9"/>
  <c r="Y49" i="9"/>
  <c r="L41" i="9"/>
  <c r="K41" i="9"/>
  <c r="J41" i="9"/>
  <c r="I41" i="9"/>
  <c r="H41" i="9"/>
  <c r="G41" i="9"/>
  <c r="F41" i="9"/>
  <c r="E41" i="9"/>
  <c r="D41" i="9"/>
  <c r="C41" i="9"/>
  <c r="P24" i="13" l="1"/>
  <c r="P19" i="13"/>
  <c r="P4" i="13"/>
  <c r="J5" i="13" s="1"/>
  <c r="P23" i="13"/>
  <c r="P16" i="13"/>
  <c r="M33" i="13" l="1"/>
  <c r="M34" i="13"/>
  <c r="P34" i="13" s="1"/>
  <c r="M37" i="13"/>
  <c r="P37" i="13" s="1"/>
  <c r="M23" i="13"/>
  <c r="M21" i="13"/>
  <c r="P21" i="13" s="1"/>
  <c r="M16" i="13"/>
  <c r="J22" i="13" l="1"/>
  <c r="J34" i="13" l="1"/>
  <c r="G33" i="13" l="1"/>
  <c r="J20" i="13" l="1"/>
  <c r="J19" i="13" l="1"/>
  <c r="M5" i="13" l="1"/>
  <c r="P5" i="13" s="1"/>
  <c r="G17" i="13"/>
  <c r="J36" i="13" l="1"/>
  <c r="J21" i="13"/>
  <c r="G18" i="13"/>
  <c r="G19" i="13"/>
  <c r="G20" i="13"/>
  <c r="G21" i="13"/>
  <c r="G22" i="13"/>
  <c r="G23" i="13"/>
  <c r="G24" i="13"/>
  <c r="G16" i="13"/>
  <c r="G34" i="13"/>
  <c r="J4" i="13"/>
  <c r="G4" i="13"/>
  <c r="G5" i="13"/>
  <c r="G7" i="13"/>
  <c r="G9" i="13"/>
  <c r="G10" i="13"/>
  <c r="G11" i="13"/>
  <c r="G12" i="13"/>
  <c r="G13" i="13"/>
  <c r="L41" i="8" l="1"/>
  <c r="K41" i="8"/>
  <c r="J41" i="8"/>
  <c r="I41" i="8"/>
  <c r="H41" i="8"/>
  <c r="G41" i="8"/>
  <c r="F41" i="8"/>
  <c r="E41" i="8"/>
  <c r="D41" i="8"/>
  <c r="C41" i="8"/>
  <c r="L41" i="10"/>
  <c r="K41" i="10"/>
  <c r="J41" i="10"/>
  <c r="I41" i="10"/>
  <c r="H41" i="10"/>
  <c r="G41" i="10"/>
  <c r="F41" i="10"/>
  <c r="E41" i="10"/>
  <c r="D41" i="10"/>
  <c r="C41" i="10"/>
  <c r="D41" i="11" l="1"/>
  <c r="E41" i="11"/>
  <c r="F41" i="11"/>
  <c r="G41" i="11"/>
  <c r="H41" i="11"/>
  <c r="I41" i="11"/>
  <c r="J41" i="11"/>
  <c r="K41" i="11"/>
  <c r="L41" i="11"/>
  <c r="C41" i="11"/>
  <c r="K37" i="12" l="1"/>
  <c r="L37" i="12" s="1"/>
  <c r="K38" i="12"/>
  <c r="L38" i="12" s="1"/>
  <c r="K39" i="12"/>
  <c r="L39" i="12" s="1"/>
  <c r="K35" i="12"/>
  <c r="L35" i="12" s="1"/>
  <c r="K29" i="12"/>
  <c r="L29" i="12" s="1"/>
  <c r="K30" i="12"/>
  <c r="L30" i="12" s="1"/>
  <c r="K31" i="12"/>
  <c r="L31" i="12" s="1"/>
  <c r="K32" i="12"/>
  <c r="L32" i="12" s="1"/>
  <c r="K28" i="12"/>
  <c r="L28" i="12" s="1"/>
  <c r="K23" i="12"/>
  <c r="L23" i="12" s="1"/>
  <c r="K24" i="12"/>
  <c r="L24" i="12" s="1"/>
  <c r="K25" i="12"/>
  <c r="L25" i="12" s="1"/>
  <c r="K22" i="12"/>
  <c r="L22" i="12" s="1"/>
  <c r="K18" i="12"/>
  <c r="L18" i="12" s="1"/>
  <c r="K19" i="12"/>
  <c r="L19" i="12" s="1"/>
  <c r="K20" i="12"/>
  <c r="L20" i="12" s="1"/>
  <c r="K21" i="12"/>
  <c r="L21" i="12" s="1"/>
  <c r="K17" i="12"/>
  <c r="L17" i="12" s="1"/>
  <c r="K10" i="12"/>
  <c r="L10" i="12" s="1"/>
  <c r="K11" i="12"/>
  <c r="L11" i="12" s="1"/>
  <c r="K12" i="12"/>
  <c r="L12" i="12" s="1"/>
  <c r="K9" i="12"/>
  <c r="L9" i="12" s="1"/>
  <c r="K4" i="12"/>
  <c r="L4" i="12" s="1"/>
  <c r="K5" i="12"/>
  <c r="L5" i="12" s="1"/>
  <c r="K3" i="12"/>
  <c r="L3" i="12" s="1"/>
  <c r="Y47" i="11" l="1"/>
  <c r="X47" i="11"/>
  <c r="W47" i="11"/>
  <c r="V47" i="11"/>
  <c r="U47" i="11"/>
  <c r="T47" i="11"/>
  <c r="S47" i="11"/>
  <c r="R47" i="11"/>
  <c r="Q47" i="11"/>
  <c r="P47" i="11"/>
  <c r="Y40" i="11"/>
  <c r="X40" i="11"/>
  <c r="W40" i="11"/>
  <c r="V40" i="11"/>
  <c r="U40" i="11"/>
  <c r="T40" i="11"/>
  <c r="S40" i="11"/>
  <c r="R40" i="11"/>
  <c r="Q40" i="11"/>
  <c r="P40" i="11"/>
  <c r="Y39" i="11"/>
  <c r="X39" i="11"/>
  <c r="W39" i="11"/>
  <c r="V39" i="11"/>
  <c r="U39" i="11"/>
  <c r="T39" i="11"/>
  <c r="S39" i="11"/>
  <c r="R39" i="11"/>
  <c r="Q39" i="11"/>
  <c r="P39" i="11"/>
  <c r="Y38" i="11"/>
  <c r="X38" i="11"/>
  <c r="W38" i="11"/>
  <c r="V38" i="11"/>
  <c r="U38" i="11"/>
  <c r="T38" i="11"/>
  <c r="S38" i="11"/>
  <c r="R38" i="11"/>
  <c r="Q38" i="11"/>
  <c r="P38" i="11"/>
  <c r="Y37" i="11"/>
  <c r="X37" i="11"/>
  <c r="W37" i="11"/>
  <c r="V37" i="11"/>
  <c r="U37" i="11"/>
  <c r="T37" i="11"/>
  <c r="S37" i="11"/>
  <c r="R37" i="11"/>
  <c r="Q37" i="11"/>
  <c r="P37" i="11"/>
  <c r="Y36" i="11"/>
  <c r="X36" i="11"/>
  <c r="W36" i="11"/>
  <c r="V36" i="11"/>
  <c r="U36" i="11"/>
  <c r="T36" i="11"/>
  <c r="S36" i="11"/>
  <c r="R36" i="11"/>
  <c r="Q36" i="11"/>
  <c r="P36" i="11"/>
  <c r="Y35" i="11"/>
  <c r="X35" i="11"/>
  <c r="W35" i="11"/>
  <c r="V35" i="11"/>
  <c r="U35" i="11"/>
  <c r="T35" i="11"/>
  <c r="S35" i="11"/>
  <c r="R35" i="11"/>
  <c r="Q35" i="11"/>
  <c r="P35" i="11"/>
  <c r="Y34" i="11"/>
  <c r="X34" i="11"/>
  <c r="W34" i="11"/>
  <c r="V34" i="11"/>
  <c r="U34" i="11"/>
  <c r="T34" i="11"/>
  <c r="S34" i="11"/>
  <c r="R34" i="11"/>
  <c r="Q34" i="11"/>
  <c r="P34" i="11"/>
  <c r="Y33" i="11"/>
  <c r="X33" i="11"/>
  <c r="W33" i="11"/>
  <c r="V33" i="11"/>
  <c r="U33" i="11"/>
  <c r="T33" i="11"/>
  <c r="S33" i="11"/>
  <c r="R33" i="11"/>
  <c r="Q33" i="11"/>
  <c r="P33" i="11"/>
  <c r="Y32" i="11"/>
  <c r="X32" i="11"/>
  <c r="W32" i="11"/>
  <c r="V32" i="11"/>
  <c r="U32" i="11"/>
  <c r="T32" i="11"/>
  <c r="S32" i="11"/>
  <c r="R32" i="11"/>
  <c r="Q32" i="11"/>
  <c r="P32" i="11"/>
  <c r="Y31" i="11"/>
  <c r="X31" i="11"/>
  <c r="W31" i="11"/>
  <c r="V31" i="11"/>
  <c r="U31" i="11"/>
  <c r="T31" i="11"/>
  <c r="S31" i="11"/>
  <c r="R31" i="11"/>
  <c r="Q31" i="11"/>
  <c r="P31" i="11"/>
  <c r="Y30" i="11"/>
  <c r="X30" i="11"/>
  <c r="W30" i="11"/>
  <c r="V30" i="11"/>
  <c r="U30" i="11"/>
  <c r="T30" i="11"/>
  <c r="S30" i="11"/>
  <c r="R30" i="11"/>
  <c r="Q30" i="11"/>
  <c r="P30" i="11"/>
  <c r="Y29" i="11"/>
  <c r="X29" i="11"/>
  <c r="W29" i="11"/>
  <c r="V29" i="11"/>
  <c r="U29" i="11"/>
  <c r="T29" i="11"/>
  <c r="S29" i="11"/>
  <c r="R29" i="11"/>
  <c r="Q29" i="11"/>
  <c r="P29" i="11"/>
  <c r="Y28" i="11"/>
  <c r="X28" i="11"/>
  <c r="W28" i="11"/>
  <c r="V28" i="11"/>
  <c r="U28" i="11"/>
  <c r="T28" i="11"/>
  <c r="S28" i="11"/>
  <c r="R28" i="11"/>
  <c r="Q28" i="11"/>
  <c r="P28" i="11"/>
  <c r="Y27" i="11"/>
  <c r="X27" i="11"/>
  <c r="W27" i="11"/>
  <c r="V27" i="11"/>
  <c r="U27" i="11"/>
  <c r="T27" i="11"/>
  <c r="S27" i="11"/>
  <c r="R27" i="11"/>
  <c r="Q27" i="11"/>
  <c r="P27" i="11"/>
  <c r="Y26" i="11"/>
  <c r="X26" i="11"/>
  <c r="W26" i="11"/>
  <c r="V26" i="11"/>
  <c r="U26" i="11"/>
  <c r="T26" i="11"/>
  <c r="S26" i="11"/>
  <c r="R26" i="11"/>
  <c r="Q26" i="11"/>
  <c r="P26" i="11"/>
  <c r="Y25" i="11"/>
  <c r="X25" i="11"/>
  <c r="W25" i="11"/>
  <c r="V25" i="11"/>
  <c r="U25" i="11"/>
  <c r="T25" i="11"/>
  <c r="S25" i="11"/>
  <c r="R25" i="11"/>
  <c r="Q25" i="11"/>
  <c r="P25" i="11"/>
  <c r="Y24" i="11"/>
  <c r="X24" i="11"/>
  <c r="W24" i="11"/>
  <c r="V24" i="11"/>
  <c r="U24" i="11"/>
  <c r="T24" i="11"/>
  <c r="S24" i="11"/>
  <c r="R24" i="11"/>
  <c r="Q24" i="11"/>
  <c r="P24" i="11"/>
  <c r="Y23" i="11"/>
  <c r="X23" i="11"/>
  <c r="W23" i="11"/>
  <c r="V23" i="11"/>
  <c r="U23" i="11"/>
  <c r="T23" i="11"/>
  <c r="S23" i="11"/>
  <c r="R23" i="11"/>
  <c r="Q23" i="11"/>
  <c r="P23" i="11"/>
  <c r="Y22" i="11"/>
  <c r="X22" i="11"/>
  <c r="W22" i="11"/>
  <c r="V22" i="11"/>
  <c r="U22" i="11"/>
  <c r="T22" i="11"/>
  <c r="S22" i="11"/>
  <c r="R22" i="11"/>
  <c r="Q22" i="11"/>
  <c r="P22" i="11"/>
  <c r="Y21" i="11"/>
  <c r="X21" i="11"/>
  <c r="W21" i="11"/>
  <c r="V21" i="11"/>
  <c r="U21" i="11"/>
  <c r="T21" i="11"/>
  <c r="S21" i="11"/>
  <c r="R21" i="11"/>
  <c r="Q21" i="11"/>
  <c r="P21" i="11"/>
  <c r="Y20" i="11"/>
  <c r="X20" i="11"/>
  <c r="W20" i="11"/>
  <c r="V20" i="11"/>
  <c r="U20" i="11"/>
  <c r="T20" i="11"/>
  <c r="S20" i="11"/>
  <c r="R20" i="11"/>
  <c r="Q20" i="11"/>
  <c r="P20" i="11"/>
  <c r="Y19" i="11"/>
  <c r="X19" i="11"/>
  <c r="W19" i="11"/>
  <c r="V19" i="11"/>
  <c r="U19" i="11"/>
  <c r="T19" i="11"/>
  <c r="S19" i="11"/>
  <c r="R19" i="11"/>
  <c r="Q19" i="11"/>
  <c r="P19" i="11"/>
  <c r="Y18" i="11"/>
  <c r="X18" i="11"/>
  <c r="W18" i="11"/>
  <c r="V18" i="11"/>
  <c r="U18" i="11"/>
  <c r="T18" i="11"/>
  <c r="S18" i="11"/>
  <c r="R18" i="11"/>
  <c r="Q18" i="11"/>
  <c r="P18" i="11"/>
  <c r="Y17" i="11"/>
  <c r="X17" i="11"/>
  <c r="W17" i="11"/>
  <c r="V17" i="11"/>
  <c r="U17" i="11"/>
  <c r="T17" i="11"/>
  <c r="S17" i="11"/>
  <c r="R17" i="11"/>
  <c r="Q17" i="11"/>
  <c r="P17" i="11"/>
  <c r="Y16" i="11"/>
  <c r="X16" i="11"/>
  <c r="W16" i="11"/>
  <c r="V16" i="11"/>
  <c r="U16" i="11"/>
  <c r="T16" i="11"/>
  <c r="S16" i="11"/>
  <c r="R16" i="11"/>
  <c r="Q16" i="11"/>
  <c r="P16" i="11"/>
  <c r="Y15" i="11"/>
  <c r="X15" i="11"/>
  <c r="W15" i="11"/>
  <c r="V15" i="11"/>
  <c r="U15" i="11"/>
  <c r="T15" i="11"/>
  <c r="S15" i="11"/>
  <c r="R15" i="11"/>
  <c r="Q15" i="11"/>
  <c r="P15" i="11"/>
  <c r="Y14" i="11"/>
  <c r="X14" i="11"/>
  <c r="W14" i="11"/>
  <c r="V14" i="11"/>
  <c r="U14" i="11"/>
  <c r="T14" i="11"/>
  <c r="S14" i="11"/>
  <c r="R14" i="11"/>
  <c r="Q14" i="11"/>
  <c r="P14" i="11"/>
  <c r="Y13" i="11"/>
  <c r="X13" i="11"/>
  <c r="W13" i="11"/>
  <c r="V13" i="11"/>
  <c r="U13" i="11"/>
  <c r="T13" i="11"/>
  <c r="S13" i="11"/>
  <c r="R13" i="11"/>
  <c r="Q13" i="11"/>
  <c r="P13" i="11"/>
  <c r="Y12" i="11"/>
  <c r="X12" i="11"/>
  <c r="W12" i="11"/>
  <c r="V12" i="11"/>
  <c r="U12" i="11"/>
  <c r="T12" i="11"/>
  <c r="S12" i="11"/>
  <c r="R12" i="11"/>
  <c r="Q12" i="11"/>
  <c r="P12" i="11"/>
  <c r="Y11" i="11"/>
  <c r="X11" i="11"/>
  <c r="W11" i="11"/>
  <c r="V11" i="11"/>
  <c r="U11" i="11"/>
  <c r="T11" i="11"/>
  <c r="S11" i="11"/>
  <c r="R11" i="11"/>
  <c r="Q11" i="11"/>
  <c r="P11" i="11"/>
  <c r="Y10" i="11"/>
  <c r="X10" i="11"/>
  <c r="W10" i="11"/>
  <c r="V10" i="11"/>
  <c r="U10" i="11"/>
  <c r="T10" i="11"/>
  <c r="S10" i="11"/>
  <c r="R10" i="11"/>
  <c r="Q10" i="11"/>
  <c r="P10" i="11"/>
  <c r="Y9" i="11"/>
  <c r="X9" i="11"/>
  <c r="W9" i="11"/>
  <c r="V9" i="11"/>
  <c r="U9" i="11"/>
  <c r="T9" i="11"/>
  <c r="S9" i="11"/>
  <c r="R9" i="11"/>
  <c r="Q9" i="11"/>
  <c r="P9" i="11"/>
  <c r="Y8" i="11"/>
  <c r="X8" i="11"/>
  <c r="W8" i="11"/>
  <c r="V8" i="11"/>
  <c r="U8" i="11"/>
  <c r="T8" i="11"/>
  <c r="S8" i="11"/>
  <c r="R8" i="11"/>
  <c r="Q8" i="11"/>
  <c r="P8" i="11"/>
  <c r="Y7" i="11"/>
  <c r="X7" i="11"/>
  <c r="W7" i="11"/>
  <c r="V7" i="11"/>
  <c r="U7" i="11"/>
  <c r="T7" i="11"/>
  <c r="S7" i="11"/>
  <c r="R7" i="11"/>
  <c r="Q7" i="11"/>
  <c r="P7" i="11"/>
  <c r="Y6" i="11"/>
  <c r="X6" i="11"/>
  <c r="W6" i="11"/>
  <c r="V6" i="11"/>
  <c r="U6" i="11"/>
  <c r="T6" i="11"/>
  <c r="S6" i="11"/>
  <c r="R6" i="11"/>
  <c r="Q6" i="11"/>
  <c r="P6" i="11"/>
  <c r="Y5" i="11"/>
  <c r="X5" i="11"/>
  <c r="W5" i="11"/>
  <c r="V5" i="11"/>
  <c r="U5" i="11"/>
  <c r="T5" i="11"/>
  <c r="S5" i="11"/>
  <c r="R5" i="11"/>
  <c r="Q5" i="11"/>
  <c r="P5" i="11"/>
  <c r="Y4" i="11"/>
  <c r="X4" i="11"/>
  <c r="W4" i="11"/>
  <c r="V4" i="11"/>
  <c r="U4" i="11"/>
  <c r="T4" i="11"/>
  <c r="S4" i="11"/>
  <c r="R4" i="11"/>
  <c r="Q4" i="11"/>
  <c r="P4" i="11"/>
  <c r="Y47" i="10"/>
  <c r="X47" i="10"/>
  <c r="W47" i="10"/>
  <c r="V47" i="10"/>
  <c r="U47" i="10"/>
  <c r="T47" i="10"/>
  <c r="S47" i="10"/>
  <c r="R47" i="10"/>
  <c r="Q47" i="10"/>
  <c r="P47" i="10"/>
  <c r="Y40" i="10"/>
  <c r="X40" i="10"/>
  <c r="W40" i="10"/>
  <c r="V40" i="10"/>
  <c r="U40" i="10"/>
  <c r="T40" i="10"/>
  <c r="S40" i="10"/>
  <c r="R40" i="10"/>
  <c r="Q40" i="10"/>
  <c r="P40" i="10"/>
  <c r="Y39" i="10"/>
  <c r="X39" i="10"/>
  <c r="W39" i="10"/>
  <c r="V39" i="10"/>
  <c r="U39" i="10"/>
  <c r="T39" i="10"/>
  <c r="S39" i="10"/>
  <c r="R39" i="10"/>
  <c r="Q39" i="10"/>
  <c r="P39" i="10"/>
  <c r="Y38" i="10"/>
  <c r="X38" i="10"/>
  <c r="W38" i="10"/>
  <c r="V38" i="10"/>
  <c r="U38" i="10"/>
  <c r="T38" i="10"/>
  <c r="S38" i="10"/>
  <c r="R38" i="10"/>
  <c r="Q38" i="10"/>
  <c r="P38" i="10"/>
  <c r="Y37" i="10"/>
  <c r="X37" i="10"/>
  <c r="W37" i="10"/>
  <c r="V37" i="10"/>
  <c r="U37" i="10"/>
  <c r="T37" i="10"/>
  <c r="S37" i="10"/>
  <c r="R37" i="10"/>
  <c r="Q37" i="10"/>
  <c r="P37" i="10"/>
  <c r="Y36" i="10"/>
  <c r="X36" i="10"/>
  <c r="W36" i="10"/>
  <c r="V36" i="10"/>
  <c r="U36" i="10"/>
  <c r="T36" i="10"/>
  <c r="S36" i="10"/>
  <c r="R36" i="10"/>
  <c r="Q36" i="10"/>
  <c r="P36" i="10"/>
  <c r="Y35" i="10"/>
  <c r="X35" i="10"/>
  <c r="W35" i="10"/>
  <c r="V35" i="10"/>
  <c r="U35" i="10"/>
  <c r="T35" i="10"/>
  <c r="S35" i="10"/>
  <c r="R35" i="10"/>
  <c r="Q35" i="10"/>
  <c r="P35" i="10"/>
  <c r="Y34" i="10"/>
  <c r="X34" i="10"/>
  <c r="W34" i="10"/>
  <c r="V34" i="10"/>
  <c r="U34" i="10"/>
  <c r="T34" i="10"/>
  <c r="S34" i="10"/>
  <c r="R34" i="10"/>
  <c r="Q34" i="10"/>
  <c r="P34" i="10"/>
  <c r="Y33" i="10"/>
  <c r="X33" i="10"/>
  <c r="W33" i="10"/>
  <c r="V33" i="10"/>
  <c r="U33" i="10"/>
  <c r="T33" i="10"/>
  <c r="S33" i="10"/>
  <c r="R33" i="10"/>
  <c r="Q33" i="10"/>
  <c r="P33" i="10"/>
  <c r="Y32" i="10"/>
  <c r="X32" i="10"/>
  <c r="W32" i="10"/>
  <c r="V32" i="10"/>
  <c r="U32" i="10"/>
  <c r="T32" i="10"/>
  <c r="S32" i="10"/>
  <c r="R32" i="10"/>
  <c r="Q32" i="10"/>
  <c r="P32" i="10"/>
  <c r="Y31" i="10"/>
  <c r="X31" i="10"/>
  <c r="W31" i="10"/>
  <c r="V31" i="10"/>
  <c r="U31" i="10"/>
  <c r="T31" i="10"/>
  <c r="S31" i="10"/>
  <c r="R31" i="10"/>
  <c r="Q31" i="10"/>
  <c r="P31" i="10"/>
  <c r="Y30" i="10"/>
  <c r="X30" i="10"/>
  <c r="W30" i="10"/>
  <c r="V30" i="10"/>
  <c r="U30" i="10"/>
  <c r="T30" i="10"/>
  <c r="S30" i="10"/>
  <c r="R30" i="10"/>
  <c r="Q30" i="10"/>
  <c r="P30" i="10"/>
  <c r="Y29" i="10"/>
  <c r="X29" i="10"/>
  <c r="W29" i="10"/>
  <c r="V29" i="10"/>
  <c r="U29" i="10"/>
  <c r="T29" i="10"/>
  <c r="S29" i="10"/>
  <c r="R29" i="10"/>
  <c r="Q29" i="10"/>
  <c r="P29" i="10"/>
  <c r="Y28" i="10"/>
  <c r="X28" i="10"/>
  <c r="W28" i="10"/>
  <c r="V28" i="10"/>
  <c r="U28" i="10"/>
  <c r="T28" i="10"/>
  <c r="S28" i="10"/>
  <c r="R28" i="10"/>
  <c r="Q28" i="10"/>
  <c r="P28" i="10"/>
  <c r="Y27" i="10"/>
  <c r="X27" i="10"/>
  <c r="W27" i="10"/>
  <c r="V27" i="10"/>
  <c r="U27" i="10"/>
  <c r="T27" i="10"/>
  <c r="S27" i="10"/>
  <c r="R27" i="10"/>
  <c r="Q27" i="10"/>
  <c r="P27" i="10"/>
  <c r="Y26" i="10"/>
  <c r="X26" i="10"/>
  <c r="W26" i="10"/>
  <c r="V26" i="10"/>
  <c r="U26" i="10"/>
  <c r="T26" i="10"/>
  <c r="S26" i="10"/>
  <c r="R26" i="10"/>
  <c r="Q26" i="10"/>
  <c r="P26" i="10"/>
  <c r="Y25" i="10"/>
  <c r="X25" i="10"/>
  <c r="W25" i="10"/>
  <c r="V25" i="10"/>
  <c r="U25" i="10"/>
  <c r="T25" i="10"/>
  <c r="S25" i="10"/>
  <c r="R25" i="10"/>
  <c r="Q25" i="10"/>
  <c r="P25" i="10"/>
  <c r="Y24" i="10"/>
  <c r="X24" i="10"/>
  <c r="W24" i="10"/>
  <c r="V24" i="10"/>
  <c r="U24" i="10"/>
  <c r="T24" i="10"/>
  <c r="S24" i="10"/>
  <c r="R24" i="10"/>
  <c r="Q24" i="10"/>
  <c r="P24" i="10"/>
  <c r="Y23" i="10"/>
  <c r="X23" i="10"/>
  <c r="W23" i="10"/>
  <c r="V23" i="10"/>
  <c r="U23" i="10"/>
  <c r="T23" i="10"/>
  <c r="S23" i="10"/>
  <c r="R23" i="10"/>
  <c r="Q23" i="10"/>
  <c r="P23" i="10"/>
  <c r="Y22" i="10"/>
  <c r="X22" i="10"/>
  <c r="W22" i="10"/>
  <c r="V22" i="10"/>
  <c r="U22" i="10"/>
  <c r="T22" i="10"/>
  <c r="S22" i="10"/>
  <c r="R22" i="10"/>
  <c r="Q22" i="10"/>
  <c r="P22" i="10"/>
  <c r="Y21" i="10"/>
  <c r="X21" i="10"/>
  <c r="W21" i="10"/>
  <c r="V21" i="10"/>
  <c r="U21" i="10"/>
  <c r="T21" i="10"/>
  <c r="S21" i="10"/>
  <c r="R21" i="10"/>
  <c r="Q21" i="10"/>
  <c r="P21" i="10"/>
  <c r="Y20" i="10"/>
  <c r="X20" i="10"/>
  <c r="W20" i="10"/>
  <c r="V20" i="10"/>
  <c r="U20" i="10"/>
  <c r="T20" i="10"/>
  <c r="S20" i="10"/>
  <c r="R20" i="10"/>
  <c r="Q20" i="10"/>
  <c r="P20" i="10"/>
  <c r="Y19" i="10"/>
  <c r="X19" i="10"/>
  <c r="W19" i="10"/>
  <c r="V19" i="10"/>
  <c r="U19" i="10"/>
  <c r="T19" i="10"/>
  <c r="S19" i="10"/>
  <c r="R19" i="10"/>
  <c r="Q19" i="10"/>
  <c r="P19" i="10"/>
  <c r="Y18" i="10"/>
  <c r="X18" i="10"/>
  <c r="W18" i="10"/>
  <c r="V18" i="10"/>
  <c r="U18" i="10"/>
  <c r="T18" i="10"/>
  <c r="S18" i="10"/>
  <c r="R18" i="10"/>
  <c r="Q18" i="10"/>
  <c r="P18" i="10"/>
  <c r="Y17" i="10"/>
  <c r="X17" i="10"/>
  <c r="W17" i="10"/>
  <c r="V17" i="10"/>
  <c r="U17" i="10"/>
  <c r="T17" i="10"/>
  <c r="S17" i="10"/>
  <c r="R17" i="10"/>
  <c r="Q17" i="10"/>
  <c r="P17" i="10"/>
  <c r="Y16" i="10"/>
  <c r="X16" i="10"/>
  <c r="W16" i="10"/>
  <c r="V16" i="10"/>
  <c r="U16" i="10"/>
  <c r="T16" i="10"/>
  <c r="S16" i="10"/>
  <c r="R16" i="10"/>
  <c r="Q16" i="10"/>
  <c r="P16" i="10"/>
  <c r="Y15" i="10"/>
  <c r="X15" i="10"/>
  <c r="W15" i="10"/>
  <c r="V15" i="10"/>
  <c r="U15" i="10"/>
  <c r="T15" i="10"/>
  <c r="S15" i="10"/>
  <c r="R15" i="10"/>
  <c r="Q15" i="10"/>
  <c r="P15" i="10"/>
  <c r="Y14" i="10"/>
  <c r="X14" i="10"/>
  <c r="W14" i="10"/>
  <c r="V14" i="10"/>
  <c r="U14" i="10"/>
  <c r="T14" i="10"/>
  <c r="S14" i="10"/>
  <c r="R14" i="10"/>
  <c r="Q14" i="10"/>
  <c r="P14" i="10"/>
  <c r="Y13" i="10"/>
  <c r="X13" i="10"/>
  <c r="W13" i="10"/>
  <c r="V13" i="10"/>
  <c r="U13" i="10"/>
  <c r="T13" i="10"/>
  <c r="S13" i="10"/>
  <c r="R13" i="10"/>
  <c r="Q13" i="10"/>
  <c r="P13" i="10"/>
  <c r="Y12" i="10"/>
  <c r="X12" i="10"/>
  <c r="W12" i="10"/>
  <c r="V12" i="10"/>
  <c r="U12" i="10"/>
  <c r="T12" i="10"/>
  <c r="S12" i="10"/>
  <c r="R12" i="10"/>
  <c r="Q12" i="10"/>
  <c r="P12" i="10"/>
  <c r="Y11" i="10"/>
  <c r="X11" i="10"/>
  <c r="W11" i="10"/>
  <c r="V11" i="10"/>
  <c r="U11" i="10"/>
  <c r="T11" i="10"/>
  <c r="S11" i="10"/>
  <c r="R11" i="10"/>
  <c r="Q11" i="10"/>
  <c r="P11" i="10"/>
  <c r="Y10" i="10"/>
  <c r="X10" i="10"/>
  <c r="W10" i="10"/>
  <c r="V10" i="10"/>
  <c r="U10" i="10"/>
  <c r="T10" i="10"/>
  <c r="S10" i="10"/>
  <c r="R10" i="10"/>
  <c r="Q10" i="10"/>
  <c r="P10" i="10"/>
  <c r="Y9" i="10"/>
  <c r="X9" i="10"/>
  <c r="W9" i="10"/>
  <c r="V9" i="10"/>
  <c r="U9" i="10"/>
  <c r="T9" i="10"/>
  <c r="S9" i="10"/>
  <c r="R9" i="10"/>
  <c r="Q9" i="10"/>
  <c r="P9" i="10"/>
  <c r="Y8" i="10"/>
  <c r="X8" i="10"/>
  <c r="W8" i="10"/>
  <c r="V8" i="10"/>
  <c r="U8" i="10"/>
  <c r="T8" i="10"/>
  <c r="S8" i="10"/>
  <c r="R8" i="10"/>
  <c r="Q8" i="10"/>
  <c r="P8" i="10"/>
  <c r="Y7" i="10"/>
  <c r="X7" i="10"/>
  <c r="W7" i="10"/>
  <c r="V7" i="10"/>
  <c r="U7" i="10"/>
  <c r="T7" i="10"/>
  <c r="S7" i="10"/>
  <c r="R7" i="10"/>
  <c r="Q7" i="10"/>
  <c r="P7" i="10"/>
  <c r="Y6" i="10"/>
  <c r="X6" i="10"/>
  <c r="W6" i="10"/>
  <c r="V6" i="10"/>
  <c r="U6" i="10"/>
  <c r="T6" i="10"/>
  <c r="S6" i="10"/>
  <c r="R6" i="10"/>
  <c r="Q6" i="10"/>
  <c r="P6" i="10"/>
  <c r="Y5" i="10"/>
  <c r="X5" i="10"/>
  <c r="W5" i="10"/>
  <c r="V5" i="10"/>
  <c r="U5" i="10"/>
  <c r="T5" i="10"/>
  <c r="S5" i="10"/>
  <c r="R5" i="10"/>
  <c r="Q5" i="10"/>
  <c r="P5" i="10"/>
  <c r="Y4" i="10"/>
  <c r="X4" i="10"/>
  <c r="W4" i="10"/>
  <c r="V4" i="10"/>
  <c r="U4" i="10"/>
  <c r="T4" i="10"/>
  <c r="S4" i="10"/>
  <c r="R4" i="10"/>
  <c r="Q4" i="10"/>
  <c r="P4" i="10"/>
  <c r="Y47" i="9"/>
  <c r="X47" i="9"/>
  <c r="W47" i="9"/>
  <c r="V47" i="9"/>
  <c r="U47" i="9"/>
  <c r="T47" i="9"/>
  <c r="S47" i="9"/>
  <c r="R47" i="9"/>
  <c r="Q47" i="9"/>
  <c r="P47" i="9"/>
  <c r="Y40" i="9"/>
  <c r="X40" i="9"/>
  <c r="W40" i="9"/>
  <c r="V40" i="9"/>
  <c r="U40" i="9"/>
  <c r="T40" i="9"/>
  <c r="S40" i="9"/>
  <c r="R40" i="9"/>
  <c r="Q40" i="9"/>
  <c r="P40" i="9"/>
  <c r="Y39" i="9"/>
  <c r="X39" i="9"/>
  <c r="W39" i="9"/>
  <c r="V39" i="9"/>
  <c r="U39" i="9"/>
  <c r="T39" i="9"/>
  <c r="S39" i="9"/>
  <c r="R39" i="9"/>
  <c r="Q39" i="9"/>
  <c r="P39" i="9"/>
  <c r="Y38" i="9"/>
  <c r="X38" i="9"/>
  <c r="W38" i="9"/>
  <c r="V38" i="9"/>
  <c r="U38" i="9"/>
  <c r="T38" i="9"/>
  <c r="S38" i="9"/>
  <c r="R38" i="9"/>
  <c r="Q38" i="9"/>
  <c r="P38" i="9"/>
  <c r="Y37" i="9"/>
  <c r="X37" i="9"/>
  <c r="W37" i="9"/>
  <c r="V37" i="9"/>
  <c r="U37" i="9"/>
  <c r="T37" i="9"/>
  <c r="S37" i="9"/>
  <c r="R37" i="9"/>
  <c r="Q37" i="9"/>
  <c r="P37" i="9"/>
  <c r="Y36" i="9"/>
  <c r="X36" i="9"/>
  <c r="W36" i="9"/>
  <c r="V36" i="9"/>
  <c r="U36" i="9"/>
  <c r="T36" i="9"/>
  <c r="S36" i="9"/>
  <c r="R36" i="9"/>
  <c r="Q36" i="9"/>
  <c r="P36" i="9"/>
  <c r="Y35" i="9"/>
  <c r="X35" i="9"/>
  <c r="W35" i="9"/>
  <c r="V35" i="9"/>
  <c r="U35" i="9"/>
  <c r="T35" i="9"/>
  <c r="S35" i="9"/>
  <c r="R35" i="9"/>
  <c r="Q35" i="9"/>
  <c r="P35" i="9"/>
  <c r="Y34" i="9"/>
  <c r="X34" i="9"/>
  <c r="W34" i="9"/>
  <c r="V34" i="9"/>
  <c r="U34" i="9"/>
  <c r="T34" i="9"/>
  <c r="S34" i="9"/>
  <c r="R34" i="9"/>
  <c r="Q34" i="9"/>
  <c r="P34" i="9"/>
  <c r="Y33" i="9"/>
  <c r="X33" i="9"/>
  <c r="W33" i="9"/>
  <c r="V33" i="9"/>
  <c r="U33" i="9"/>
  <c r="T33" i="9"/>
  <c r="S33" i="9"/>
  <c r="R33" i="9"/>
  <c r="Q33" i="9"/>
  <c r="P33" i="9"/>
  <c r="Y32" i="9"/>
  <c r="X32" i="9"/>
  <c r="W32" i="9"/>
  <c r="V32" i="9"/>
  <c r="U32" i="9"/>
  <c r="T32" i="9"/>
  <c r="S32" i="9"/>
  <c r="R32" i="9"/>
  <c r="Q32" i="9"/>
  <c r="P32" i="9"/>
  <c r="Y31" i="9"/>
  <c r="X31" i="9"/>
  <c r="W31" i="9"/>
  <c r="V31" i="9"/>
  <c r="U31" i="9"/>
  <c r="T31" i="9"/>
  <c r="S31" i="9"/>
  <c r="R31" i="9"/>
  <c r="Q31" i="9"/>
  <c r="P31" i="9"/>
  <c r="Y30" i="9"/>
  <c r="X30" i="9"/>
  <c r="W30" i="9"/>
  <c r="V30" i="9"/>
  <c r="U30" i="9"/>
  <c r="T30" i="9"/>
  <c r="S30" i="9"/>
  <c r="R30" i="9"/>
  <c r="Q30" i="9"/>
  <c r="P30" i="9"/>
  <c r="Y29" i="9"/>
  <c r="X29" i="9"/>
  <c r="W29" i="9"/>
  <c r="V29" i="9"/>
  <c r="U29" i="9"/>
  <c r="T29" i="9"/>
  <c r="S29" i="9"/>
  <c r="R29" i="9"/>
  <c r="Q29" i="9"/>
  <c r="P29" i="9"/>
  <c r="Y28" i="9"/>
  <c r="X28" i="9"/>
  <c r="W28" i="9"/>
  <c r="V28" i="9"/>
  <c r="U28" i="9"/>
  <c r="T28" i="9"/>
  <c r="S28" i="9"/>
  <c r="R28" i="9"/>
  <c r="Q28" i="9"/>
  <c r="P28" i="9"/>
  <c r="Y27" i="9"/>
  <c r="X27" i="9"/>
  <c r="W27" i="9"/>
  <c r="V27" i="9"/>
  <c r="U27" i="9"/>
  <c r="T27" i="9"/>
  <c r="S27" i="9"/>
  <c r="R27" i="9"/>
  <c r="Q27" i="9"/>
  <c r="P27" i="9"/>
  <c r="Y26" i="9"/>
  <c r="X26" i="9"/>
  <c r="W26" i="9"/>
  <c r="V26" i="9"/>
  <c r="U26" i="9"/>
  <c r="T26" i="9"/>
  <c r="S26" i="9"/>
  <c r="R26" i="9"/>
  <c r="Q26" i="9"/>
  <c r="P26" i="9"/>
  <c r="Y25" i="9"/>
  <c r="X25" i="9"/>
  <c r="W25" i="9"/>
  <c r="V25" i="9"/>
  <c r="U25" i="9"/>
  <c r="T25" i="9"/>
  <c r="S25" i="9"/>
  <c r="R25" i="9"/>
  <c r="Q25" i="9"/>
  <c r="P25" i="9"/>
  <c r="Y24" i="9"/>
  <c r="X24" i="9"/>
  <c r="W24" i="9"/>
  <c r="V24" i="9"/>
  <c r="U24" i="9"/>
  <c r="T24" i="9"/>
  <c r="S24" i="9"/>
  <c r="R24" i="9"/>
  <c r="Q24" i="9"/>
  <c r="P24" i="9"/>
  <c r="Y23" i="9"/>
  <c r="X23" i="9"/>
  <c r="W23" i="9"/>
  <c r="V23" i="9"/>
  <c r="U23" i="9"/>
  <c r="T23" i="9"/>
  <c r="S23" i="9"/>
  <c r="R23" i="9"/>
  <c r="Q23" i="9"/>
  <c r="P23" i="9"/>
  <c r="Y22" i="9"/>
  <c r="X22" i="9"/>
  <c r="W22" i="9"/>
  <c r="V22" i="9"/>
  <c r="U22" i="9"/>
  <c r="T22" i="9"/>
  <c r="S22" i="9"/>
  <c r="R22" i="9"/>
  <c r="Q22" i="9"/>
  <c r="P22" i="9"/>
  <c r="Y21" i="9"/>
  <c r="X21" i="9"/>
  <c r="W21" i="9"/>
  <c r="V21" i="9"/>
  <c r="U21" i="9"/>
  <c r="T21" i="9"/>
  <c r="S21" i="9"/>
  <c r="R21" i="9"/>
  <c r="Q21" i="9"/>
  <c r="P21" i="9"/>
  <c r="Y20" i="9"/>
  <c r="X20" i="9"/>
  <c r="W20" i="9"/>
  <c r="V20" i="9"/>
  <c r="U20" i="9"/>
  <c r="T20" i="9"/>
  <c r="S20" i="9"/>
  <c r="R20" i="9"/>
  <c r="Q20" i="9"/>
  <c r="P20" i="9"/>
  <c r="Y19" i="9"/>
  <c r="X19" i="9"/>
  <c r="W19" i="9"/>
  <c r="V19" i="9"/>
  <c r="U19" i="9"/>
  <c r="T19" i="9"/>
  <c r="S19" i="9"/>
  <c r="R19" i="9"/>
  <c r="Q19" i="9"/>
  <c r="P19" i="9"/>
  <c r="Y18" i="9"/>
  <c r="X18" i="9"/>
  <c r="W18" i="9"/>
  <c r="V18" i="9"/>
  <c r="U18" i="9"/>
  <c r="T18" i="9"/>
  <c r="S18" i="9"/>
  <c r="R18" i="9"/>
  <c r="Q18" i="9"/>
  <c r="P18" i="9"/>
  <c r="Y17" i="9"/>
  <c r="X17" i="9"/>
  <c r="W17" i="9"/>
  <c r="V17" i="9"/>
  <c r="U17" i="9"/>
  <c r="T17" i="9"/>
  <c r="S17" i="9"/>
  <c r="R17" i="9"/>
  <c r="Q17" i="9"/>
  <c r="P17" i="9"/>
  <c r="Y16" i="9"/>
  <c r="X16" i="9"/>
  <c r="W16" i="9"/>
  <c r="V16" i="9"/>
  <c r="U16" i="9"/>
  <c r="T16" i="9"/>
  <c r="S16" i="9"/>
  <c r="R16" i="9"/>
  <c r="Q16" i="9"/>
  <c r="P16" i="9"/>
  <c r="Y15" i="9"/>
  <c r="X15" i="9"/>
  <c r="W15" i="9"/>
  <c r="V15" i="9"/>
  <c r="U15" i="9"/>
  <c r="T15" i="9"/>
  <c r="S15" i="9"/>
  <c r="R15" i="9"/>
  <c r="Q15" i="9"/>
  <c r="P15" i="9"/>
  <c r="Y14" i="9"/>
  <c r="X14" i="9"/>
  <c r="W14" i="9"/>
  <c r="V14" i="9"/>
  <c r="U14" i="9"/>
  <c r="T14" i="9"/>
  <c r="S14" i="9"/>
  <c r="R14" i="9"/>
  <c r="Q14" i="9"/>
  <c r="P14" i="9"/>
  <c r="Y13" i="9"/>
  <c r="X13" i="9"/>
  <c r="W13" i="9"/>
  <c r="V13" i="9"/>
  <c r="U13" i="9"/>
  <c r="T13" i="9"/>
  <c r="S13" i="9"/>
  <c r="R13" i="9"/>
  <c r="Q13" i="9"/>
  <c r="P13" i="9"/>
  <c r="Y12" i="9"/>
  <c r="X12" i="9"/>
  <c r="W12" i="9"/>
  <c r="V12" i="9"/>
  <c r="U12" i="9"/>
  <c r="T12" i="9"/>
  <c r="S12" i="9"/>
  <c r="R12" i="9"/>
  <c r="Q12" i="9"/>
  <c r="P12" i="9"/>
  <c r="Y11" i="9"/>
  <c r="X11" i="9"/>
  <c r="W11" i="9"/>
  <c r="V11" i="9"/>
  <c r="U11" i="9"/>
  <c r="T11" i="9"/>
  <c r="S11" i="9"/>
  <c r="R11" i="9"/>
  <c r="Q11" i="9"/>
  <c r="P11" i="9"/>
  <c r="Y10" i="9"/>
  <c r="X10" i="9"/>
  <c r="W10" i="9"/>
  <c r="V10" i="9"/>
  <c r="U10" i="9"/>
  <c r="T10" i="9"/>
  <c r="S10" i="9"/>
  <c r="R10" i="9"/>
  <c r="Q10" i="9"/>
  <c r="P10" i="9"/>
  <c r="Y9" i="9"/>
  <c r="X9" i="9"/>
  <c r="W9" i="9"/>
  <c r="V9" i="9"/>
  <c r="U9" i="9"/>
  <c r="T9" i="9"/>
  <c r="S9" i="9"/>
  <c r="R9" i="9"/>
  <c r="Q9" i="9"/>
  <c r="P9" i="9"/>
  <c r="Y8" i="9"/>
  <c r="X8" i="9"/>
  <c r="W8" i="9"/>
  <c r="V8" i="9"/>
  <c r="U8" i="9"/>
  <c r="T8" i="9"/>
  <c r="S8" i="9"/>
  <c r="R8" i="9"/>
  <c r="Q8" i="9"/>
  <c r="P8" i="9"/>
  <c r="Y7" i="9"/>
  <c r="X7" i="9"/>
  <c r="W7" i="9"/>
  <c r="V7" i="9"/>
  <c r="U7" i="9"/>
  <c r="T7" i="9"/>
  <c r="S7" i="9"/>
  <c r="R7" i="9"/>
  <c r="Q7" i="9"/>
  <c r="P7" i="9"/>
  <c r="Y6" i="9"/>
  <c r="X6" i="9"/>
  <c r="W6" i="9"/>
  <c r="V6" i="9"/>
  <c r="U6" i="9"/>
  <c r="T6" i="9"/>
  <c r="S6" i="9"/>
  <c r="R6" i="9"/>
  <c r="Q6" i="9"/>
  <c r="P6" i="9"/>
  <c r="Y5" i="9"/>
  <c r="X5" i="9"/>
  <c r="W5" i="9"/>
  <c r="V5" i="9"/>
  <c r="U5" i="9"/>
  <c r="T5" i="9"/>
  <c r="S5" i="9"/>
  <c r="R5" i="9"/>
  <c r="Q5" i="9"/>
  <c r="P5" i="9"/>
  <c r="Y4" i="9"/>
  <c r="X4" i="9"/>
  <c r="W4" i="9"/>
  <c r="V4" i="9"/>
  <c r="U4" i="9"/>
  <c r="T4" i="9"/>
  <c r="S4" i="9"/>
  <c r="R4" i="9"/>
  <c r="Q4" i="9"/>
  <c r="P4" i="9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Y4" i="8"/>
  <c r="X4" i="8"/>
  <c r="W4" i="8"/>
  <c r="V4" i="8"/>
  <c r="U4" i="8"/>
  <c r="T4" i="8"/>
  <c r="S4" i="8"/>
  <c r="Q4" i="8"/>
  <c r="R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" i="8"/>
  <c r="S41" i="10" l="1"/>
  <c r="S43" i="10" s="1"/>
  <c r="S49" i="10" s="1"/>
  <c r="W41" i="10"/>
  <c r="W43" i="10" s="1"/>
  <c r="W49" i="10" s="1"/>
  <c r="Q41" i="10"/>
  <c r="Q43" i="10" s="1"/>
  <c r="Q49" i="10" s="1"/>
  <c r="U43" i="10"/>
  <c r="U49" i="10" s="1"/>
  <c r="Y41" i="10"/>
  <c r="Y43" i="10" s="1"/>
  <c r="Y49" i="10" s="1"/>
  <c r="P41" i="10"/>
  <c r="P43" i="10" s="1"/>
  <c r="P49" i="10" s="1"/>
  <c r="T41" i="10"/>
  <c r="T43" i="10" s="1"/>
  <c r="T49" i="10" s="1"/>
  <c r="X41" i="10"/>
  <c r="X43" i="10" s="1"/>
  <c r="X49" i="10" s="1"/>
  <c r="R43" i="10"/>
  <c r="R49" i="10" s="1"/>
  <c r="V43" i="10"/>
  <c r="V49" i="10" s="1"/>
  <c r="S41" i="11"/>
  <c r="S43" i="11" s="1"/>
  <c r="S49" i="11" s="1"/>
  <c r="W41" i="11"/>
  <c r="W43" i="11" s="1"/>
  <c r="W49" i="11" s="1"/>
  <c r="P41" i="11"/>
  <c r="P43" i="11" s="1"/>
  <c r="P49" i="11" s="1"/>
  <c r="T41" i="11"/>
  <c r="T43" i="11" s="1"/>
  <c r="T49" i="11" s="1"/>
  <c r="X41" i="11"/>
  <c r="X43" i="11" s="1"/>
  <c r="X49" i="11" s="1"/>
  <c r="R41" i="11"/>
  <c r="R43" i="11" s="1"/>
  <c r="R49" i="11" s="1"/>
  <c r="V41" i="11"/>
  <c r="V43" i="11" s="1"/>
  <c r="V49" i="11" s="1"/>
  <c r="Q41" i="11"/>
  <c r="Q43" i="11" s="1"/>
  <c r="Q49" i="11" s="1"/>
  <c r="U41" i="11"/>
  <c r="U43" i="11" s="1"/>
  <c r="U49" i="11" s="1"/>
  <c r="Y41" i="11"/>
  <c r="Y43" i="11" s="1"/>
  <c r="Y49" i="11" s="1"/>
  <c r="Q41" i="9"/>
  <c r="Q43" i="9" s="1"/>
  <c r="U41" i="9"/>
  <c r="U43" i="9" s="1"/>
  <c r="Y41" i="9"/>
  <c r="Y43" i="9" s="1"/>
  <c r="S41" i="9"/>
  <c r="S43" i="9" s="1"/>
  <c r="W41" i="9"/>
  <c r="W43" i="9" s="1"/>
  <c r="T41" i="9"/>
  <c r="T43" i="9" s="1"/>
  <c r="P41" i="9"/>
  <c r="P43" i="9" s="1"/>
  <c r="P49" i="9" s="1"/>
  <c r="X41" i="9"/>
  <c r="X43" i="9" s="1"/>
  <c r="R41" i="9"/>
  <c r="R43" i="9" s="1"/>
  <c r="V41" i="9"/>
  <c r="V43" i="9" s="1"/>
  <c r="Y47" i="8"/>
  <c r="X47" i="8"/>
  <c r="W47" i="8"/>
  <c r="V47" i="8"/>
  <c r="U47" i="8"/>
  <c r="T47" i="8"/>
  <c r="S47" i="8"/>
  <c r="R47" i="8"/>
  <c r="Q47" i="8"/>
  <c r="P47" i="8"/>
  <c r="W41" i="8"/>
  <c r="W43" i="8" s="1"/>
  <c r="W49" i="8" s="1"/>
  <c r="V41" i="8"/>
  <c r="V43" i="8" s="1"/>
  <c r="V49" i="8" s="1"/>
  <c r="S41" i="8"/>
  <c r="S43" i="8" s="1"/>
  <c r="S49" i="8" s="1"/>
  <c r="R41" i="8"/>
  <c r="R43" i="8" s="1"/>
  <c r="Y41" i="8"/>
  <c r="Y43" i="8" s="1"/>
  <c r="X41" i="8"/>
  <c r="X43" i="8" s="1"/>
  <c r="U41" i="8"/>
  <c r="U43" i="8" s="1"/>
  <c r="U49" i="8" s="1"/>
  <c r="T41" i="8"/>
  <c r="T43" i="8" s="1"/>
  <c r="T49" i="8" s="1"/>
  <c r="Q41" i="8"/>
  <c r="Q43" i="8" s="1"/>
  <c r="P41" i="8"/>
  <c r="P43" i="8" s="1"/>
  <c r="R49" i="8" l="1"/>
  <c r="P49" i="8"/>
  <c r="X49" i="8"/>
  <c r="Q49" i="8"/>
  <c r="Y49" i="8"/>
</calcChain>
</file>

<file path=xl/sharedStrings.xml><?xml version="1.0" encoding="utf-8"?>
<sst xmlns="http://schemas.openxmlformats.org/spreadsheetml/2006/main" count="708" uniqueCount="156">
  <si>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</si>
  <si>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</si>
  <si>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</si>
  <si>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</si>
  <si>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</si>
  <si>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</si>
  <si>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</si>
  <si>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</si>
  <si>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</si>
  <si>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PSO3</t>
  </si>
  <si>
    <t>Attainment</t>
  </si>
  <si>
    <t>C101ENG-22101</t>
  </si>
  <si>
    <t>C102 BSC-22102</t>
  </si>
  <si>
    <t>C103 BMS-22103</t>
  </si>
  <si>
    <t>C104 ICT-22001</t>
  </si>
  <si>
    <t>Average</t>
  </si>
  <si>
    <t>Direct Attainment</t>
  </si>
  <si>
    <t>80% of Direct Attainment</t>
  </si>
  <si>
    <t>Indirect  Attainment</t>
  </si>
  <si>
    <t>20 % of Indirect attainment</t>
  </si>
  <si>
    <t>PO Attainment</t>
  </si>
  <si>
    <t>C105 EGM-22003</t>
  </si>
  <si>
    <t>C106 WPC-22005</t>
  </si>
  <si>
    <t>C107 EEC-22215</t>
  </si>
  <si>
    <t>C108 AMI-22224</t>
  </si>
  <si>
    <t>C109 BEC22225</t>
  </si>
  <si>
    <t>C110 PCI-22226</t>
  </si>
  <si>
    <t>C111 BCC-22009</t>
  </si>
  <si>
    <t>C112 CPH-22013</t>
  </si>
  <si>
    <t>C113 WPD-22014</t>
  </si>
  <si>
    <t>C201 OOP-22316</t>
  </si>
  <si>
    <t>C202 DSU-22317</t>
  </si>
  <si>
    <t>C203 CGR-22318</t>
  </si>
  <si>
    <t>C204 DMS-22319</t>
  </si>
  <si>
    <t>C205 DTE 22320</t>
  </si>
  <si>
    <t>C206 JPR-22412</t>
  </si>
  <si>
    <t>C207 SEN-22413</t>
  </si>
  <si>
    <t>C208 DCC-22414</t>
  </si>
  <si>
    <t>C209 MIC-22415</t>
  </si>
  <si>
    <t>C210 GAD-22034</t>
  </si>
  <si>
    <t>C301 EST-22447</t>
  </si>
  <si>
    <t>C302 OSY-22516</t>
  </si>
  <si>
    <t>C303 AJP-22517</t>
  </si>
  <si>
    <t>C304 SET-22518</t>
  </si>
  <si>
    <t>C305 CSS-22519</t>
  </si>
  <si>
    <t>C306 ITR-22518</t>
  </si>
  <si>
    <t>C307 CPP-22058</t>
  </si>
  <si>
    <t>C308 MGT-22509</t>
  </si>
  <si>
    <t>C309 PWP-22616</t>
  </si>
  <si>
    <t>C310 MAD-22617</t>
  </si>
  <si>
    <t>C311 ETI-22618</t>
  </si>
  <si>
    <t>C312 WBP-22619</t>
  </si>
  <si>
    <t>C313 EDE-22032</t>
  </si>
  <si>
    <t>C314 CPE-22060</t>
  </si>
  <si>
    <t>C105 EGE-22003</t>
  </si>
  <si>
    <t>2021-22</t>
  </si>
  <si>
    <t>2022-23</t>
  </si>
  <si>
    <t>2023-24</t>
  </si>
  <si>
    <t>W20</t>
  </si>
  <si>
    <t>S21</t>
  </si>
  <si>
    <t>W18</t>
  </si>
  <si>
    <t>W17</t>
  </si>
  <si>
    <t>W16</t>
  </si>
  <si>
    <t>W19</t>
  </si>
  <si>
    <t>S19</t>
  </si>
  <si>
    <t>S18</t>
  </si>
  <si>
    <t>S17</t>
  </si>
  <si>
    <t>AVG</t>
  </si>
  <si>
    <t>Target</t>
  </si>
  <si>
    <t>Out of 3</t>
  </si>
  <si>
    <t>S20</t>
  </si>
  <si>
    <t>A</t>
  </si>
  <si>
    <t>T</t>
  </si>
  <si>
    <t>C101 ENG-22101</t>
  </si>
  <si>
    <t>C101</t>
  </si>
  <si>
    <t>ENG-22101</t>
  </si>
  <si>
    <t>C102</t>
  </si>
  <si>
    <t>BSC-22102</t>
  </si>
  <si>
    <t>C103</t>
  </si>
  <si>
    <t>BMS-22103</t>
  </si>
  <si>
    <t>C104</t>
  </si>
  <si>
    <t>ICT-22001</t>
  </si>
  <si>
    <t>C105</t>
  </si>
  <si>
    <t>EGM-22003</t>
  </si>
  <si>
    <t>C106</t>
  </si>
  <si>
    <t>WPC-22005</t>
  </si>
  <si>
    <t>C107</t>
  </si>
  <si>
    <t>EEC-22215</t>
  </si>
  <si>
    <t>C108</t>
  </si>
  <si>
    <t>AMI-22224</t>
  </si>
  <si>
    <t>C109</t>
  </si>
  <si>
    <t>BEC22225</t>
  </si>
  <si>
    <t>C110</t>
  </si>
  <si>
    <t>PCI-22226</t>
  </si>
  <si>
    <t>C111</t>
  </si>
  <si>
    <t>BCC-22009</t>
  </si>
  <si>
    <t>C112</t>
  </si>
  <si>
    <t>CPH-22013</t>
  </si>
  <si>
    <t>C113</t>
  </si>
  <si>
    <t>WPD-22014</t>
  </si>
  <si>
    <t>C201</t>
  </si>
  <si>
    <t>OOP-22316</t>
  </si>
  <si>
    <t>C202</t>
  </si>
  <si>
    <t>DSU-22317</t>
  </si>
  <si>
    <t>C203</t>
  </si>
  <si>
    <t>CGR-22318</t>
  </si>
  <si>
    <t>C204</t>
  </si>
  <si>
    <t>DMS-22319</t>
  </si>
  <si>
    <t>C205</t>
  </si>
  <si>
    <t>DTE 22320</t>
  </si>
  <si>
    <t>C206</t>
  </si>
  <si>
    <t>JPR-22412</t>
  </si>
  <si>
    <t>C207</t>
  </si>
  <si>
    <t>SEN-22413</t>
  </si>
  <si>
    <t>C208</t>
  </si>
  <si>
    <t>DCC-22414</t>
  </si>
  <si>
    <t>C209</t>
  </si>
  <si>
    <t>MIC-22415</t>
  </si>
  <si>
    <t>C210</t>
  </si>
  <si>
    <t>GAD-22034</t>
  </si>
  <si>
    <t>C301</t>
  </si>
  <si>
    <t>EST-22447</t>
  </si>
  <si>
    <t>C302</t>
  </si>
  <si>
    <t>OSY-22516</t>
  </si>
  <si>
    <t>C303</t>
  </si>
  <si>
    <t>AJP-22517</t>
  </si>
  <si>
    <t>C304</t>
  </si>
  <si>
    <t>SET-22518</t>
  </si>
  <si>
    <t>C305</t>
  </si>
  <si>
    <t>CSS-22519</t>
  </si>
  <si>
    <t>C306</t>
  </si>
  <si>
    <t>ITR-22518</t>
  </si>
  <si>
    <t>C307</t>
  </si>
  <si>
    <t>CPP-22058</t>
  </si>
  <si>
    <t>C308</t>
  </si>
  <si>
    <t>MGT-22509</t>
  </si>
  <si>
    <t>C309</t>
  </si>
  <si>
    <t>PWP-22616</t>
  </si>
  <si>
    <t>C310</t>
  </si>
  <si>
    <t>MAD-22617</t>
  </si>
  <si>
    <t>C311</t>
  </si>
  <si>
    <t>ETI-22618</t>
  </si>
  <si>
    <t>C312</t>
  </si>
  <si>
    <t>WBP-22619</t>
  </si>
  <si>
    <t>C313</t>
  </si>
  <si>
    <t>EDE-22032</t>
  </si>
  <si>
    <t>C314</t>
  </si>
  <si>
    <t>CPE-22060</t>
  </si>
  <si>
    <t>NO</t>
  </si>
  <si>
    <t>2024-25</t>
  </si>
  <si>
    <t>2025-26</t>
  </si>
  <si>
    <t>Course Name</t>
  </si>
  <si>
    <t xml:space="preserve">CO-PO-PSO Mapping Average </t>
  </si>
  <si>
    <t xml:space="preserve">Result of Evaluation </t>
  </si>
  <si>
    <t>Batch 2021-22 to 2023-24 (PO and PSO attainment)</t>
  </si>
  <si>
    <t xml:space="preserve">PO Attainment formula=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</si>
</sst>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9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9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theme="1"/>
      <name val="Inherit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Inherit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9"/>
      <name val="Times New Roman"/>
      <family val="1"/>
    </font>
    <font>
      <sz val="14"/>
      <color theme="1"/>
      <name val="Times New Roman"/>
      <family val="1"/>
    </font>
    <font>
      <b/>
      <sz val="16"/>
      <color rgb="FF000009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8"/>
      <color rgb="FF000009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24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18"/>
      <color rgb="FF7030A0"/>
      <name val="Times New Roman"/>
      <family val="1"/>
    </font>
    <font>
      <b/>
      <sz val="20"/>
      <color rgb="FF7030A0"/>
      <name val="Times New Roman"/>
      <family val="1"/>
    </font>
    <font>
      <b/>
      <sz val="24"/>
      <color rgb="FF7030A0"/>
      <name val="Times New Roman"/>
      <family val="1"/>
    </font>
    <font>
      <b/>
      <sz val="16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4">
    <xf numFmtId="0" fontId="0" fillId="0" borderId="0" xfId="0"/>
    <xf numFmtId="0" fontId="1" fillId="0" borderId="0" xfId="0" applyFont="1" applyFill="1"/>
    <xf numFmtId="2" fontId="4" fillId="0" borderId="2" xfId="0" applyNumberFormat="1" applyFont="1" applyFill="1" applyBorder="1" applyAlignment="1">
      <alignment horizontal="center" vertical="center" wrapText="1"/>
    </xf>
    <xf numFmtId="2" fontId="4" fillId="0" borderId="3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2" borderId="15" xfId="0" applyFont="1" applyFill="1" applyBorder="1" applyAlignment="1">
      <alignment horizontal="center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8" fillId="0" borderId="0" xfId="0" applyFont="1"/>
    <xf numFmtId="0" fontId="8" fillId="0" borderId="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applyBorder="1"/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0" borderId="7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vertical="center" wrapText="1"/>
    </xf>
    <xf numFmtId="0" fontId="2" fillId="6" borderId="18" xfId="0" applyFont="1" applyFill="1" applyBorder="1" applyAlignment="1">
      <alignment vertical="center" wrapText="1"/>
    </xf>
    <xf numFmtId="0" fontId="2" fillId="6" borderId="13" xfId="0" applyFont="1" applyFill="1" applyBorder="1" applyAlignment="1">
      <alignment vertical="center" wrapText="1"/>
    </xf>
    <xf numFmtId="0" fontId="3" fillId="6" borderId="13" xfId="0" applyFont="1" applyFill="1" applyBorder="1" applyAlignment="1">
      <alignment vertical="center" wrapText="1"/>
    </xf>
    <xf numFmtId="0" fontId="3" fillId="6" borderId="20" xfId="0" applyFont="1" applyFill="1" applyBorder="1" applyAlignment="1">
      <alignment vertical="center" wrapText="1"/>
    </xf>
    <xf numFmtId="0" fontId="8" fillId="0" borderId="1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4" fillId="7" borderId="16" xfId="0" applyNumberFormat="1" applyFont="1" applyFill="1" applyBorder="1" applyAlignment="1">
      <alignment horizontal="center" vertical="center" wrapText="1"/>
    </xf>
    <xf numFmtId="2" fontId="8" fillId="7" borderId="16" xfId="0" applyNumberFormat="1" applyFont="1" applyFill="1" applyBorder="1" applyAlignment="1">
      <alignment horizontal="center"/>
    </xf>
    <xf numFmtId="2" fontId="8" fillId="4" borderId="9" xfId="0" applyNumberFormat="1" applyFont="1" applyFill="1" applyBorder="1" applyAlignment="1">
      <alignment horizontal="center"/>
    </xf>
    <xf numFmtId="2" fontId="4" fillId="4" borderId="16" xfId="0" applyNumberFormat="1" applyFont="1" applyFill="1" applyBorder="1" applyAlignment="1">
      <alignment horizontal="center" vertical="center" wrapText="1"/>
    </xf>
    <xf numFmtId="2" fontId="8" fillId="8" borderId="16" xfId="0" applyNumberFormat="1" applyFont="1" applyFill="1" applyBorder="1" applyAlignment="1">
      <alignment horizontal="center"/>
    </xf>
    <xf numFmtId="2" fontId="4" fillId="8" borderId="16" xfId="0" applyNumberFormat="1" applyFont="1" applyFill="1" applyBorder="1" applyAlignment="1">
      <alignment horizontal="center" vertical="center" wrapText="1"/>
    </xf>
    <xf numFmtId="2" fontId="5" fillId="7" borderId="7" xfId="0" applyNumberFormat="1" applyFont="1" applyFill="1" applyBorder="1" applyAlignment="1">
      <alignment horizontal="center"/>
    </xf>
    <xf numFmtId="2" fontId="5" fillId="7" borderId="9" xfId="0" applyNumberFormat="1" applyFont="1" applyFill="1" applyBorder="1" applyAlignment="1">
      <alignment horizontal="center"/>
    </xf>
    <xf numFmtId="2" fontId="8" fillId="7" borderId="9" xfId="0" applyNumberFormat="1" applyFont="1" applyFill="1" applyBorder="1" applyAlignment="1">
      <alignment horizontal="center" vertical="center"/>
    </xf>
    <xf numFmtId="2" fontId="5" fillId="8" borderId="9" xfId="0" applyNumberFormat="1" applyFont="1" applyFill="1" applyBorder="1" applyAlignment="1">
      <alignment horizontal="center"/>
    </xf>
    <xf numFmtId="2" fontId="8" fillId="8" borderId="9" xfId="0" applyNumberFormat="1" applyFont="1" applyFill="1" applyBorder="1" applyAlignment="1">
      <alignment horizontal="center" vertical="center"/>
    </xf>
    <xf numFmtId="2" fontId="5" fillId="4" borderId="9" xfId="0" applyNumberFormat="1" applyFont="1" applyFill="1" applyBorder="1" applyAlignment="1">
      <alignment horizontal="center"/>
    </xf>
    <xf numFmtId="2" fontId="8" fillId="4" borderId="9" xfId="0" applyNumberFormat="1" applyFont="1" applyFill="1" applyBorder="1" applyAlignment="1">
      <alignment horizontal="center" vertical="center"/>
    </xf>
    <xf numFmtId="2" fontId="9" fillId="4" borderId="9" xfId="0" applyNumberFormat="1" applyFont="1" applyFill="1" applyBorder="1" applyAlignment="1">
      <alignment horizontal="center" vertical="center" wrapText="1"/>
    </xf>
    <xf numFmtId="2" fontId="9" fillId="4" borderId="12" xfId="0" applyNumberFormat="1" applyFont="1" applyFill="1" applyBorder="1" applyAlignment="1">
      <alignment horizontal="center" vertical="center" wrapText="1"/>
    </xf>
    <xf numFmtId="0" fontId="0" fillId="0" borderId="34" xfId="0" applyBorder="1"/>
    <xf numFmtId="0" fontId="9" fillId="0" borderId="34" xfId="0" applyFont="1" applyFill="1" applyBorder="1" applyAlignment="1">
      <alignment horizontal="center" vertical="center" wrapText="1"/>
    </xf>
    <xf numFmtId="2" fontId="4" fillId="4" borderId="3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11" borderId="23" xfId="0" applyFill="1" applyBorder="1"/>
    <xf numFmtId="0" fontId="5" fillId="11" borderId="36" xfId="0" applyFont="1" applyFill="1" applyBorder="1" applyAlignment="1">
      <alignment horizontal="center"/>
    </xf>
    <xf numFmtId="0" fontId="0" fillId="4" borderId="0" xfId="0" applyFill="1" applyBorder="1"/>
    <xf numFmtId="0" fontId="5" fillId="4" borderId="9" xfId="0" applyFont="1" applyFill="1" applyBorder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/>
    </xf>
    <xf numFmtId="0" fontId="0" fillId="4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39" xfId="0" applyFill="1" applyBorder="1"/>
    <xf numFmtId="0" fontId="5" fillId="4" borderId="40" xfId="0" applyFont="1" applyFill="1" applyBorder="1" applyAlignment="1">
      <alignment horizontal="center"/>
    </xf>
    <xf numFmtId="0" fontId="0" fillId="10" borderId="23" xfId="0" applyFill="1" applyBorder="1"/>
    <xf numFmtId="0" fontId="5" fillId="10" borderId="36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wrapText="1"/>
    </xf>
    <xf numFmtId="0" fontId="0" fillId="3" borderId="0" xfId="0" applyFill="1" applyBorder="1"/>
    <xf numFmtId="0" fontId="5" fillId="3" borderId="9" xfId="0" applyFont="1" applyFill="1" applyBorder="1" applyAlignment="1">
      <alignment horizontal="center"/>
    </xf>
    <xf numFmtId="0" fontId="0" fillId="3" borderId="2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39" xfId="0" applyFill="1" applyBorder="1"/>
    <xf numFmtId="0" fontId="5" fillId="3" borderId="40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 wrapText="1"/>
    </xf>
    <xf numFmtId="0" fontId="0" fillId="2" borderId="0" xfId="0" applyFill="1" applyBorder="1"/>
    <xf numFmtId="0" fontId="5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wrapText="1"/>
    </xf>
    <xf numFmtId="0" fontId="0" fillId="2" borderId="2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39" xfId="0" applyFill="1" applyBorder="1"/>
    <xf numFmtId="0" fontId="5" fillId="2" borderId="40" xfId="0" applyFont="1" applyFill="1" applyBorder="1" applyAlignment="1">
      <alignment horizontal="center"/>
    </xf>
    <xf numFmtId="0" fontId="5" fillId="9" borderId="41" xfId="0" applyFont="1" applyFill="1" applyBorder="1"/>
    <xf numFmtId="0" fontId="2" fillId="0" borderId="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vertical="center" wrapText="1"/>
    </xf>
    <xf numFmtId="0" fontId="3" fillId="11" borderId="4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0" fillId="2" borderId="8" xfId="0" applyFill="1" applyBorder="1"/>
    <xf numFmtId="0" fontId="0" fillId="2" borderId="10" xfId="0" applyFill="1" applyBorder="1"/>
    <xf numFmtId="0" fontId="0" fillId="2" borderId="11" xfId="0" applyFill="1" applyBorder="1"/>
    <xf numFmtId="0" fontId="5" fillId="2" borderId="12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5" fillId="2" borderId="7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wrapText="1"/>
    </xf>
    <xf numFmtId="0" fontId="0" fillId="3" borderId="3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0" fillId="3" borderId="5" xfId="0" applyFill="1" applyBorder="1"/>
    <xf numFmtId="0" fontId="0" fillId="3" borderId="6" xfId="0" applyFill="1" applyBorder="1"/>
    <xf numFmtId="0" fontId="5" fillId="3" borderId="7" xfId="0" applyFont="1" applyFill="1" applyBorder="1" applyAlignment="1">
      <alignment horizontal="center"/>
    </xf>
    <xf numFmtId="0" fontId="0" fillId="3" borderId="8" xfId="0" applyFill="1" applyBorder="1"/>
    <xf numFmtId="0" fontId="0" fillId="3" borderId="10" xfId="0" applyFill="1" applyBorder="1"/>
    <xf numFmtId="0" fontId="0" fillId="3" borderId="11" xfId="0" applyFill="1" applyBorder="1"/>
    <xf numFmtId="0" fontId="5" fillId="3" borderId="12" xfId="0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43" xfId="0" applyFont="1" applyFill="1" applyBorder="1" applyAlignment="1">
      <alignment horizontal="center" wrapText="1"/>
    </xf>
    <xf numFmtId="0" fontId="0" fillId="11" borderId="44" xfId="0" applyFill="1" applyBorder="1" applyAlignment="1">
      <alignment horizontal="center" vertical="center"/>
    </xf>
    <xf numFmtId="0" fontId="6" fillId="4" borderId="45" xfId="0" applyFont="1" applyFill="1" applyBorder="1" applyAlignment="1">
      <alignment horizontal="center" wrapText="1"/>
    </xf>
    <xf numFmtId="0" fontId="6" fillId="4" borderId="46" xfId="0" applyFont="1" applyFill="1" applyBorder="1" applyAlignment="1">
      <alignment horizontal="center" wrapText="1"/>
    </xf>
    <xf numFmtId="0" fontId="6" fillId="4" borderId="33" xfId="0" applyFont="1" applyFill="1" applyBorder="1" applyAlignment="1">
      <alignment horizontal="center" wrapText="1"/>
    </xf>
    <xf numFmtId="0" fontId="0" fillId="4" borderId="5" xfId="0" applyFill="1" applyBorder="1"/>
    <xf numFmtId="0" fontId="0" fillId="4" borderId="6" xfId="0" applyFill="1" applyBorder="1"/>
    <xf numFmtId="0" fontId="5" fillId="4" borderId="7" xfId="0" applyFont="1" applyFill="1" applyBorder="1" applyAlignment="1">
      <alignment horizontal="center"/>
    </xf>
    <xf numFmtId="0" fontId="0" fillId="4" borderId="8" xfId="0" applyFill="1" applyBorder="1"/>
    <xf numFmtId="0" fontId="0" fillId="4" borderId="10" xfId="0" applyFill="1" applyBorder="1"/>
    <xf numFmtId="0" fontId="0" fillId="4" borderId="11" xfId="0" applyFill="1" applyBorder="1"/>
    <xf numFmtId="0" fontId="5" fillId="4" borderId="12" xfId="0" applyFont="1" applyFill="1" applyBorder="1" applyAlignment="1">
      <alignment horizontal="center"/>
    </xf>
    <xf numFmtId="0" fontId="6" fillId="4" borderId="47" xfId="0" applyFont="1" applyFill="1" applyBorder="1" applyAlignment="1">
      <alignment horizontal="center" wrapText="1"/>
    </xf>
    <xf numFmtId="0" fontId="6" fillId="4" borderId="48" xfId="0" applyFont="1" applyFill="1" applyBorder="1" applyAlignment="1">
      <alignment horizontal="center" wrapText="1"/>
    </xf>
    <xf numFmtId="0" fontId="6" fillId="4" borderId="49" xfId="0" applyFont="1" applyFill="1" applyBorder="1" applyAlignment="1">
      <alignment horizontal="center" wrapText="1"/>
    </xf>
    <xf numFmtId="0" fontId="6" fillId="4" borderId="4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0" fillId="11" borderId="47" xfId="0" applyFill="1" applyBorder="1" applyAlignment="1">
      <alignment horizontal="center" vertical="center"/>
    </xf>
    <xf numFmtId="0" fontId="0" fillId="11" borderId="48" xfId="0" applyFill="1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0" fillId="10" borderId="48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wrapText="1"/>
    </xf>
    <xf numFmtId="0" fontId="6" fillId="3" borderId="15" xfId="0" applyFont="1" applyFill="1" applyBorder="1" applyAlignment="1">
      <alignment horizontal="center" wrapText="1"/>
    </xf>
    <xf numFmtId="0" fontId="6" fillId="3" borderId="16" xfId="0" applyFont="1" applyFill="1" applyBorder="1" applyAlignment="1">
      <alignment horizontal="center" wrapText="1"/>
    </xf>
    <xf numFmtId="0" fontId="5" fillId="9" borderId="47" xfId="0" applyFont="1" applyFill="1" applyBorder="1" applyAlignment="1">
      <alignment horizontal="center" vertical="center"/>
    </xf>
    <xf numFmtId="0" fontId="5" fillId="9" borderId="48" xfId="0" applyFont="1" applyFill="1" applyBorder="1" applyAlignment="1">
      <alignment horizontal="center" vertical="center"/>
    </xf>
    <xf numFmtId="0" fontId="5" fillId="9" borderId="49" xfId="0" applyFont="1" applyFill="1" applyBorder="1" applyAlignment="1">
      <alignment horizontal="center" vertical="center"/>
    </xf>
    <xf numFmtId="0" fontId="5" fillId="9" borderId="28" xfId="0" applyFont="1" applyFill="1" applyBorder="1"/>
    <xf numFmtId="0" fontId="5" fillId="9" borderId="47" xfId="0" applyFont="1" applyFill="1" applyBorder="1"/>
    <xf numFmtId="0" fontId="5" fillId="9" borderId="48" xfId="0" applyFont="1" applyFill="1" applyBorder="1"/>
    <xf numFmtId="0" fontId="5" fillId="9" borderId="49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5" fillId="2" borderId="16" xfId="0" applyFont="1" applyFill="1" applyBorder="1" applyAlignment="1">
      <alignment horizontal="center"/>
    </xf>
    <xf numFmtId="0" fontId="5" fillId="9" borderId="49" xfId="0" applyFont="1" applyFill="1" applyBorder="1" applyAlignment="1">
      <alignment horizontal="center"/>
    </xf>
    <xf numFmtId="2" fontId="8" fillId="4" borderId="16" xfId="0" applyNumberFormat="1" applyFont="1" applyFill="1" applyBorder="1" applyAlignment="1">
      <alignment horizontal="center"/>
    </xf>
    <xf numFmtId="0" fontId="3" fillId="12" borderId="9" xfId="0" applyFont="1" applyFill="1" applyBorder="1" applyAlignment="1">
      <alignment vertical="center" wrapText="1"/>
    </xf>
    <xf numFmtId="0" fontId="0" fillId="0" borderId="34" xfId="0" applyBorder="1" applyAlignment="1">
      <alignment horizontal="center" vertical="center"/>
    </xf>
    <xf numFmtId="0" fontId="3" fillId="0" borderId="23" xfId="0" applyFont="1" applyBorder="1"/>
    <xf numFmtId="0" fontId="3" fillId="0" borderId="0" xfId="0" applyFont="1" applyBorder="1"/>
    <xf numFmtId="0" fontId="1" fillId="0" borderId="0" xfId="0" applyFont="1" applyBorder="1"/>
    <xf numFmtId="0" fontId="1" fillId="0" borderId="39" xfId="0" applyFont="1" applyBorder="1"/>
    <xf numFmtId="0" fontId="1" fillId="0" borderId="0" xfId="0" applyFont="1" applyFill="1" applyAlignment="1">
      <alignment horizont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0" fontId="18" fillId="0" borderId="18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 wrapText="1"/>
    </xf>
    <xf numFmtId="164" fontId="19" fillId="0" borderId="8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64" fontId="20" fillId="0" borderId="1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64" fontId="20" fillId="0" borderId="8" xfId="0" applyNumberFormat="1" applyFont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2" fontId="20" fillId="0" borderId="9" xfId="0" applyNumberFormat="1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2" fontId="20" fillId="0" borderId="8" xfId="0" applyNumberFormat="1" applyFont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 wrapText="1"/>
    </xf>
    <xf numFmtId="0" fontId="16" fillId="0" borderId="17" xfId="0" applyFont="1" applyFill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vertical="center" wrapText="1"/>
    </xf>
    <xf numFmtId="2" fontId="20" fillId="0" borderId="11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164" fontId="20" fillId="0" borderId="11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2" fontId="21" fillId="0" borderId="2" xfId="0" applyNumberFormat="1" applyFont="1" applyFill="1" applyBorder="1" applyAlignment="1">
      <alignment horizontal="center" vertical="center" wrapText="1"/>
    </xf>
    <xf numFmtId="2" fontId="21" fillId="0" borderId="3" xfId="0" applyNumberFormat="1" applyFont="1" applyFill="1" applyBorder="1" applyAlignment="1">
      <alignment horizontal="center" vertical="center" wrapText="1"/>
    </xf>
    <xf numFmtId="2" fontId="13" fillId="0" borderId="5" xfId="0" applyNumberFormat="1" applyFont="1" applyFill="1" applyBorder="1" applyAlignment="1">
      <alignment horizontal="center"/>
    </xf>
    <xf numFmtId="2" fontId="13" fillId="0" borderId="6" xfId="0" applyNumberFormat="1" applyFont="1" applyFill="1" applyBorder="1" applyAlignment="1">
      <alignment horizontal="center"/>
    </xf>
    <xf numFmtId="2" fontId="13" fillId="0" borderId="7" xfId="0" applyNumberFormat="1" applyFont="1" applyFill="1" applyBorder="1" applyAlignment="1">
      <alignment horizontal="center"/>
    </xf>
    <xf numFmtId="2" fontId="13" fillId="0" borderId="8" xfId="0" applyNumberFormat="1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2" fontId="13" fillId="0" borderId="9" xfId="0" applyNumberFormat="1" applyFont="1" applyFill="1" applyBorder="1" applyAlignment="1">
      <alignment horizontal="center"/>
    </xf>
    <xf numFmtId="2" fontId="13" fillId="0" borderId="10" xfId="0" applyNumberFormat="1" applyFont="1" applyFill="1" applyBorder="1" applyAlignment="1">
      <alignment horizontal="center"/>
    </xf>
    <xf numFmtId="2" fontId="13" fillId="0" borderId="11" xfId="0" applyNumberFormat="1" applyFont="1" applyFill="1" applyBorder="1" applyAlignment="1">
      <alignment horizontal="center"/>
    </xf>
    <xf numFmtId="2" fontId="13" fillId="0" borderId="12" xfId="0" applyNumberFormat="1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 wrapText="1"/>
    </xf>
    <xf numFmtId="2" fontId="15" fillId="0" borderId="5" xfId="0" applyNumberFormat="1" applyFont="1" applyFill="1" applyBorder="1" applyAlignment="1">
      <alignment horizontal="center"/>
    </xf>
    <xf numFmtId="2" fontId="15" fillId="0" borderId="6" xfId="0" applyNumberFormat="1" applyFont="1" applyFill="1" applyBorder="1" applyAlignment="1">
      <alignment horizontal="center"/>
    </xf>
    <xf numFmtId="2" fontId="15" fillId="0" borderId="7" xfId="0" applyNumberFormat="1" applyFont="1" applyFill="1" applyBorder="1" applyAlignment="1">
      <alignment horizontal="center"/>
    </xf>
    <xf numFmtId="0" fontId="14" fillId="0" borderId="13" xfId="0" applyFont="1" applyFill="1" applyBorder="1" applyAlignment="1">
      <alignment vertical="center" wrapText="1"/>
    </xf>
    <xf numFmtId="2" fontId="15" fillId="0" borderId="8" xfId="0" applyNumberFormat="1" applyFont="1" applyFill="1" applyBorder="1" applyAlignment="1">
      <alignment horizontal="center"/>
    </xf>
    <xf numFmtId="2" fontId="15" fillId="0" borderId="1" xfId="0" applyNumberFormat="1" applyFont="1" applyFill="1" applyBorder="1" applyAlignment="1">
      <alignment horizontal="center"/>
    </xf>
    <xf numFmtId="2" fontId="15" fillId="0" borderId="9" xfId="0" applyNumberFormat="1" applyFont="1" applyFill="1" applyBorder="1" applyAlignment="1">
      <alignment horizontal="center"/>
    </xf>
    <xf numFmtId="0" fontId="10" fillId="0" borderId="13" xfId="0" applyFont="1" applyFill="1" applyBorder="1" applyAlignment="1">
      <alignment vertical="center" wrapText="1"/>
    </xf>
    <xf numFmtId="0" fontId="10" fillId="0" borderId="20" xfId="0" applyFont="1" applyFill="1" applyBorder="1" applyAlignment="1">
      <alignment vertical="center" wrapText="1"/>
    </xf>
    <xf numFmtId="2" fontId="15" fillId="0" borderId="10" xfId="0" applyNumberFormat="1" applyFont="1" applyFill="1" applyBorder="1" applyAlignment="1">
      <alignment horizontal="center"/>
    </xf>
    <xf numFmtId="2" fontId="15" fillId="0" borderId="11" xfId="0" applyNumberFormat="1" applyFont="1" applyFill="1" applyBorder="1" applyAlignment="1">
      <alignment horizontal="center"/>
    </xf>
    <xf numFmtId="2" fontId="15" fillId="0" borderId="12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5" borderId="19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2" fontId="25" fillId="0" borderId="50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2" fontId="16" fillId="0" borderId="9" xfId="0" applyNumberFormat="1" applyFont="1" applyBorder="1" applyAlignment="1">
      <alignment horizontal="center" vertical="center"/>
    </xf>
    <xf numFmtId="2" fontId="26" fillId="0" borderId="50" xfId="0" applyNumberFormat="1" applyFont="1" applyBorder="1" applyAlignment="1">
      <alignment horizontal="center" vertical="center"/>
    </xf>
    <xf numFmtId="2" fontId="26" fillId="0" borderId="15" xfId="0" applyNumberFormat="1" applyFont="1" applyBorder="1" applyAlignment="1">
      <alignment horizontal="center" vertical="center"/>
    </xf>
    <xf numFmtId="2" fontId="26" fillId="0" borderId="16" xfId="0" applyNumberFormat="1" applyFont="1" applyBorder="1" applyAlignment="1">
      <alignment horizontal="center" vertical="center"/>
    </xf>
    <xf numFmtId="2" fontId="17" fillId="0" borderId="34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17" fillId="0" borderId="9" xfId="0" applyNumberFormat="1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2" fontId="26" fillId="0" borderId="51" xfId="0" applyNumberFormat="1" applyFont="1" applyBorder="1" applyAlignment="1">
      <alignment horizontal="center" vertical="center"/>
    </xf>
    <xf numFmtId="2" fontId="26" fillId="0" borderId="11" xfId="0" applyNumberFormat="1" applyFont="1" applyBorder="1" applyAlignment="1">
      <alignment horizontal="center" vertical="center"/>
    </xf>
    <xf numFmtId="2" fontId="26" fillId="0" borderId="12" xfId="0" applyNumberFormat="1" applyFont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 wrapText="1"/>
    </xf>
    <xf numFmtId="2" fontId="16" fillId="0" borderId="27" xfId="0" applyNumberFormat="1" applyFont="1" applyBorder="1" applyAlignment="1">
      <alignment horizontal="center"/>
    </xf>
    <xf numFmtId="2" fontId="16" fillId="0" borderId="53" xfId="0" applyNumberFormat="1" applyFont="1" applyBorder="1" applyAlignment="1">
      <alignment horizontal="center"/>
    </xf>
    <xf numFmtId="2" fontId="16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164" fontId="20" fillId="0" borderId="15" xfId="0" applyNumberFormat="1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6" fillId="6" borderId="20" xfId="0" applyFont="1" applyFill="1" applyBorder="1" applyAlignment="1">
      <alignment horizontal="center" vertical="center" wrapText="1"/>
    </xf>
    <xf numFmtId="2" fontId="20" fillId="0" borderId="26" xfId="0" applyNumberFormat="1" applyFont="1" applyBorder="1" applyAlignment="1">
      <alignment horizontal="center" vertical="center" wrapText="1"/>
    </xf>
    <xf numFmtId="2" fontId="20" fillId="0" borderId="21" xfId="0" applyNumberFormat="1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164" fontId="20" fillId="0" borderId="21" xfId="0" applyNumberFormat="1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16" fillId="6" borderId="17" xfId="0" applyFont="1" applyFill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2" fontId="13" fillId="0" borderId="4" xfId="0" applyNumberFormat="1" applyFont="1" applyBorder="1" applyAlignment="1">
      <alignment horizontal="center"/>
    </xf>
    <xf numFmtId="0" fontId="11" fillId="0" borderId="20" xfId="0" applyFont="1" applyFill="1" applyBorder="1" applyAlignment="1">
      <alignment horizontal="center" vertical="center" wrapText="1"/>
    </xf>
    <xf numFmtId="2" fontId="28" fillId="0" borderId="2" xfId="0" applyNumberFormat="1" applyFont="1" applyFill="1" applyBorder="1" applyAlignment="1">
      <alignment horizontal="center" vertical="center" wrapText="1"/>
    </xf>
    <xf numFmtId="2" fontId="28" fillId="0" borderId="3" xfId="0" applyNumberFormat="1" applyFont="1" applyFill="1" applyBorder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/>
    </xf>
    <xf numFmtId="2" fontId="10" fillId="0" borderId="5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2" fontId="16" fillId="0" borderId="11" xfId="0" applyNumberFormat="1" applyFont="1" applyBorder="1" applyAlignment="1">
      <alignment horizontal="center"/>
    </xf>
    <xf numFmtId="2" fontId="16" fillId="0" borderId="12" xfId="0" applyNumberFormat="1" applyFont="1" applyBorder="1" applyAlignment="1">
      <alignment horizontal="center"/>
    </xf>
    <xf numFmtId="2" fontId="17" fillId="0" borderId="11" xfId="0" applyNumberFormat="1" applyFont="1" applyBorder="1" applyAlignment="1">
      <alignment horizontal="center"/>
    </xf>
    <xf numFmtId="0" fontId="14" fillId="0" borderId="18" xfId="0" applyFont="1" applyFill="1" applyBorder="1" applyAlignment="1">
      <alignment wrapText="1"/>
    </xf>
    <xf numFmtId="0" fontId="14" fillId="0" borderId="13" xfId="0" applyFont="1" applyFill="1" applyBorder="1" applyAlignment="1">
      <alignment wrapText="1"/>
    </xf>
    <xf numFmtId="0" fontId="10" fillId="0" borderId="13" xfId="0" applyFont="1" applyFill="1" applyBorder="1" applyAlignment="1">
      <alignment wrapText="1"/>
    </xf>
    <xf numFmtId="0" fontId="10" fillId="0" borderId="17" xfId="0" applyFont="1" applyFill="1" applyBorder="1" applyAlignment="1">
      <alignment wrapText="1"/>
    </xf>
    <xf numFmtId="2" fontId="10" fillId="0" borderId="3" xfId="0" applyNumberFormat="1" applyFont="1" applyBorder="1" applyAlignment="1">
      <alignment horizontal="center"/>
    </xf>
    <xf numFmtId="2" fontId="10" fillId="0" borderId="4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2" fontId="26" fillId="0" borderId="8" xfId="0" applyNumberFormat="1" applyFont="1" applyBorder="1" applyAlignment="1">
      <alignment horizontal="center"/>
    </xf>
    <xf numFmtId="0" fontId="22" fillId="5" borderId="41" xfId="0" applyFont="1" applyFill="1" applyBorder="1" applyAlignment="1">
      <alignment horizontal="center" vertical="center"/>
    </xf>
    <xf numFmtId="0" fontId="15" fillId="0" borderId="24" xfId="0" applyFont="1" applyFill="1" applyBorder="1" applyAlignment="1"/>
    <xf numFmtId="2" fontId="26" fillId="0" borderId="54" xfId="0" applyNumberFormat="1" applyFont="1" applyBorder="1" applyAlignment="1">
      <alignment horizontal="center" vertical="center"/>
    </xf>
    <xf numFmtId="2" fontId="25" fillId="0" borderId="54" xfId="0" applyNumberFormat="1" applyFont="1" applyBorder="1" applyAlignment="1">
      <alignment horizontal="center" vertical="center"/>
    </xf>
    <xf numFmtId="2" fontId="17" fillId="0" borderId="45" xfId="0" applyNumberFormat="1" applyFont="1" applyBorder="1" applyAlignment="1">
      <alignment horizontal="center" vertical="center"/>
    </xf>
    <xf numFmtId="2" fontId="26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2" fontId="26" fillId="0" borderId="55" xfId="0" applyNumberFormat="1" applyFont="1" applyBorder="1" applyAlignment="1">
      <alignment horizontal="center" vertical="center"/>
    </xf>
    <xf numFmtId="2" fontId="26" fillId="0" borderId="40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6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164" fontId="19" fillId="0" borderId="8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0" fillId="0" borderId="8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164" fontId="20" fillId="0" borderId="1" xfId="0" applyNumberFormat="1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164" fontId="20" fillId="0" borderId="8" xfId="0" applyNumberFormat="1" applyFont="1" applyBorder="1" applyAlignment="1">
      <alignment horizontal="center" wrapText="1"/>
    </xf>
    <xf numFmtId="2" fontId="20" fillId="0" borderId="9" xfId="0" applyNumberFormat="1" applyFont="1" applyBorder="1" applyAlignment="1">
      <alignment horizontal="center" wrapText="1"/>
    </xf>
    <xf numFmtId="0" fontId="19" fillId="0" borderId="8" xfId="0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2" fontId="20" fillId="0" borderId="8" xfId="0" applyNumberFormat="1" applyFont="1" applyBorder="1" applyAlignment="1">
      <alignment horizontal="center" wrapText="1"/>
    </xf>
    <xf numFmtId="2" fontId="20" fillId="0" borderId="1" xfId="0" applyNumberFormat="1" applyFont="1" applyBorder="1" applyAlignment="1">
      <alignment horizontal="center" wrapText="1"/>
    </xf>
    <xf numFmtId="2" fontId="20" fillId="0" borderId="10" xfId="0" applyNumberFormat="1" applyFont="1" applyBorder="1" applyAlignment="1">
      <alignment horizontal="center" wrapText="1"/>
    </xf>
    <xf numFmtId="2" fontId="20" fillId="0" borderId="11" xfId="0" applyNumberFormat="1" applyFont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164" fontId="20" fillId="0" borderId="11" xfId="0" applyNumberFormat="1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7" fillId="0" borderId="5" xfId="0" applyFont="1" applyFill="1" applyBorder="1" applyAlignment="1">
      <alignment horizontal="center" vertical="top"/>
    </xf>
    <xf numFmtId="0" fontId="15" fillId="0" borderId="6" xfId="0" applyFont="1" applyFill="1" applyBorder="1" applyAlignment="1">
      <alignment horizontal="center" vertical="top"/>
    </xf>
    <xf numFmtId="0" fontId="15" fillId="0" borderId="7" xfId="0" applyFont="1" applyFill="1" applyBorder="1" applyAlignment="1">
      <alignment horizontal="center" vertical="top"/>
    </xf>
    <xf numFmtId="0" fontId="15" fillId="0" borderId="8" xfId="0" applyFont="1" applyFill="1" applyBorder="1" applyAlignment="1">
      <alignment horizontal="center" vertical="top"/>
    </xf>
    <xf numFmtId="0" fontId="15" fillId="0" borderId="1" xfId="0" applyFont="1" applyFill="1" applyBorder="1" applyAlignment="1">
      <alignment horizontal="center" vertical="top"/>
    </xf>
    <xf numFmtId="0" fontId="15" fillId="0" borderId="9" xfId="0" applyFont="1" applyFill="1" applyBorder="1" applyAlignment="1">
      <alignment horizontal="center" vertical="top"/>
    </xf>
    <xf numFmtId="0" fontId="15" fillId="0" borderId="10" xfId="0" applyFont="1" applyFill="1" applyBorder="1" applyAlignment="1">
      <alignment horizontal="center" vertical="top"/>
    </xf>
    <xf numFmtId="0" fontId="15" fillId="0" borderId="11" xfId="0" applyFont="1" applyFill="1" applyBorder="1" applyAlignment="1">
      <alignment horizontal="center" vertical="top"/>
    </xf>
    <xf numFmtId="0" fontId="15" fillId="0" borderId="12" xfId="0" applyFont="1" applyFill="1" applyBorder="1" applyAlignment="1">
      <alignment horizontal="center" vertical="top"/>
    </xf>
    <xf numFmtId="0" fontId="24" fillId="0" borderId="5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13" borderId="23" xfId="0" applyFont="1" applyFill="1" applyBorder="1" applyAlignment="1">
      <alignment horizontal="center" vertical="center"/>
    </xf>
    <xf numFmtId="0" fontId="23" fillId="13" borderId="36" xfId="0" applyFont="1" applyFill="1" applyBorder="1" applyAlignment="1">
      <alignment horizontal="center" vertical="center"/>
    </xf>
    <xf numFmtId="0" fontId="23" fillId="13" borderId="38" xfId="0" applyFont="1" applyFill="1" applyBorder="1" applyAlignment="1">
      <alignment horizontal="center" vertical="center"/>
    </xf>
    <xf numFmtId="0" fontId="23" fillId="13" borderId="39" xfId="0" applyFont="1" applyFill="1" applyBorder="1" applyAlignment="1">
      <alignment horizontal="center" vertical="center"/>
    </xf>
    <xf numFmtId="0" fontId="23" fillId="13" borderId="40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38" xfId="0" applyFont="1" applyFill="1" applyBorder="1" applyAlignment="1">
      <alignment horizontal="center" vertical="center"/>
    </xf>
    <xf numFmtId="0" fontId="23" fillId="6" borderId="39" xfId="0" applyFont="1" applyFill="1" applyBorder="1" applyAlignment="1">
      <alignment horizontal="center" vertical="center"/>
    </xf>
    <xf numFmtId="0" fontId="23" fillId="6" borderId="40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813546</xdr:colOff>
      <xdr:row>43</xdr:row>
      <xdr:rowOff>208153</xdr:rowOff>
    </xdr:from>
    <xdr:to>
      <xdr:col>10</xdr:col>
      <xdr:colOff>36498</xdr:colOff>
      <xdr:row>47</xdr:row>
      <xdr:rowOff>123265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8664" y="11660565"/>
          <a:ext cx="6999834" cy="1214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467591</xdr:colOff>
      <xdr:row>43</xdr:row>
      <xdr:rowOff>69273</xdr:rowOff>
    </xdr:from>
    <xdr:to>
      <xdr:col>11</xdr:col>
      <xdr:colOff>262249</xdr:colOff>
      <xdr:row>46</xdr:row>
      <xdr:rowOff>346365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727" y="15967364"/>
          <a:ext cx="8176658" cy="13681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467591</xdr:colOff>
      <xdr:row>43</xdr:row>
      <xdr:rowOff>69273</xdr:rowOff>
    </xdr:from>
    <xdr:to>
      <xdr:col>11</xdr:col>
      <xdr:colOff>613313</xdr:colOff>
      <xdr:row>47</xdr:row>
      <xdr:rowOff>173554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7191" y="16271298"/>
          <a:ext cx="8138558" cy="13915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467592</xdr:colOff>
      <xdr:row>43</xdr:row>
      <xdr:rowOff>69273</xdr:rowOff>
    </xdr:from>
    <xdr:to>
      <xdr:col>9</xdr:col>
      <xdr:colOff>353787</xdr:colOff>
      <xdr:row>47</xdr:row>
      <xdr:rowOff>173554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913" y="11472059"/>
          <a:ext cx="7111588" cy="1410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49"/>
  <sheetViews>
    <sheetView tabSelected="1" topLeftCell="A23" zoomScale="85" zoomScaleNormal="85" workbookViewId="0">
      <selection activeCell="D34" sqref="D34"/>
    </sheetView>
  </sheetViews>
  <sheetFormatPr defaultRowHeight="15.75"/>
  <cols>
    <col min="1" max="1" width="9.140625" style="4"/>
    <col min="2" max="2" width="27.85546875" style="191" bestFit="1" customWidth="1"/>
    <col min="3" max="12" width="11.140625" style="4" customWidth="1"/>
    <col min="13" max="13" width="2.5703125" style="4" customWidth="1"/>
    <col min="14" max="14" width="22.7109375" style="8" bestFit="1" customWidth="1"/>
    <col min="15" max="15" width="26.7109375" style="5" bestFit="1" customWidth="1"/>
    <col min="16" max="22" width="9.140625" style="4"/>
    <col min="23" max="25" width="12.28515625" style="4" bestFit="1" customWidth="1"/>
    <col min="26" max="16384" width="9.140625" style="4"/>
  </cols>
  <sheetData>
    <row r="1" spans="2:25" s="5" customFormat="1" ht="30.75" customHeight="1">
      <c r="B1" s="374" t="s">
        <v>152</v>
      </c>
      <c r="C1" s="375"/>
      <c r="D1" s="375"/>
      <c r="E1" s="375"/>
      <c r="F1" s="375"/>
      <c r="G1" s="375"/>
      <c r="H1" s="375"/>
      <c r="I1" s="375"/>
      <c r="J1" s="375"/>
      <c r="K1" s="375"/>
      <c r="L1" s="376"/>
      <c r="M1" s="187"/>
      <c r="N1" s="380" t="s">
        <v>153</v>
      </c>
      <c r="O1" s="380"/>
      <c r="P1" s="380"/>
      <c r="Q1" s="380"/>
      <c r="R1" s="380"/>
      <c r="S1" s="380"/>
      <c r="T1" s="380"/>
      <c r="U1" s="380"/>
      <c r="V1" s="380"/>
      <c r="W1" s="380"/>
      <c r="X1" s="380"/>
      <c r="Y1" s="380"/>
    </row>
    <row r="2" spans="2:25" s="5" customFormat="1" ht="30.75" customHeight="1" thickBot="1">
      <c r="B2" s="377"/>
      <c r="C2" s="378"/>
      <c r="D2" s="378"/>
      <c r="E2" s="378"/>
      <c r="F2" s="378"/>
      <c r="G2" s="378"/>
      <c r="H2" s="378"/>
      <c r="I2" s="378"/>
      <c r="J2" s="378"/>
      <c r="K2" s="378"/>
      <c r="L2" s="379"/>
      <c r="M2" s="188"/>
      <c r="N2" s="381" t="s">
        <v>154</v>
      </c>
      <c r="O2" s="382"/>
      <c r="P2" s="382"/>
      <c r="Q2" s="382"/>
      <c r="R2" s="382"/>
      <c r="S2" s="382"/>
      <c r="T2" s="382"/>
      <c r="U2" s="382"/>
      <c r="V2" s="382"/>
      <c r="W2" s="382"/>
      <c r="X2" s="382"/>
      <c r="Y2" s="383"/>
    </row>
    <row r="3" spans="2:25" s="251" customFormat="1" ht="44.25" customHeight="1" thickBot="1">
      <c r="B3" s="252" t="s">
        <v>151</v>
      </c>
      <c r="C3" s="252" t="s">
        <v>0</v>
      </c>
      <c r="D3" s="252" t="s">
        <v>1</v>
      </c>
      <c r="E3" s="252" t="s">
        <v>2</v>
      </c>
      <c r="F3" s="252" t="s">
        <v>3</v>
      </c>
      <c r="G3" s="252" t="s">
        <v>4</v>
      </c>
      <c r="H3" s="252" t="s">
        <v>5</v>
      </c>
      <c r="I3" s="252" t="s">
        <v>6</v>
      </c>
      <c r="J3" s="252" t="s">
        <v>7</v>
      </c>
      <c r="K3" s="252" t="s">
        <v>8</v>
      </c>
      <c r="L3" s="252" t="s">
        <v>9</v>
      </c>
      <c r="M3" s="252"/>
      <c r="N3" s="252" t="s">
        <v>10</v>
      </c>
      <c r="O3" s="252" t="s">
        <v>151</v>
      </c>
      <c r="P3" s="252" t="s">
        <v>0</v>
      </c>
      <c r="Q3" s="252" t="s">
        <v>1</v>
      </c>
      <c r="R3" s="252" t="s">
        <v>2</v>
      </c>
      <c r="S3" s="252" t="s">
        <v>3</v>
      </c>
      <c r="T3" s="252" t="s">
        <v>4</v>
      </c>
      <c r="U3" s="252" t="s">
        <v>5</v>
      </c>
      <c r="V3" s="252" t="s">
        <v>6</v>
      </c>
      <c r="W3" s="252" t="s">
        <v>7</v>
      </c>
      <c r="X3" s="252" t="s">
        <v>8</v>
      </c>
      <c r="Y3" s="252" t="s">
        <v>9</v>
      </c>
    </row>
    <row r="4" spans="2:25" ht="19.5" customHeight="1">
      <c r="B4" s="281" t="s">
        <v>11</v>
      </c>
      <c r="C4" s="200">
        <v>3</v>
      </c>
      <c r="D4" s="201">
        <v>2</v>
      </c>
      <c r="E4" s="201"/>
      <c r="F4" s="201"/>
      <c r="G4" s="201"/>
      <c r="H4" s="201"/>
      <c r="I4" s="201">
        <v>2</v>
      </c>
      <c r="J4" s="201">
        <v>2</v>
      </c>
      <c r="K4" s="201">
        <v>1</v>
      </c>
      <c r="L4" s="203">
        <v>2</v>
      </c>
      <c r="N4" s="225">
        <v>3</v>
      </c>
      <c r="O4" s="192" t="s">
        <v>11</v>
      </c>
      <c r="P4" s="227">
        <f t="shared" ref="P4:P40" si="0">(C4*N4)/3</f>
        <v>3</v>
      </c>
      <c r="Q4" s="228">
        <f t="shared" ref="Q4:Q40" si="1">(D4*N4)/3</f>
        <v>2</v>
      </c>
      <c r="R4" s="228">
        <f t="shared" ref="R4:R40" si="2">(E4*N4)/3</f>
        <v>0</v>
      </c>
      <c r="S4" s="228">
        <f t="shared" ref="S4:S40" si="3">(F4*N4)/3</f>
        <v>0</v>
      </c>
      <c r="T4" s="228">
        <f t="shared" ref="T4:T40" si="4">(G4*N4)/3</f>
        <v>0</v>
      </c>
      <c r="U4" s="228">
        <f t="shared" ref="U4:U40" si="5">(H4*N4)/3</f>
        <v>0</v>
      </c>
      <c r="V4" s="228">
        <f t="shared" ref="V4:V40" si="6">(I4*N4)/3</f>
        <v>2</v>
      </c>
      <c r="W4" s="228">
        <f t="shared" ref="W4:W40" si="7">(J4*N4)/3</f>
        <v>2</v>
      </c>
      <c r="X4" s="228">
        <f t="shared" ref="X4:X40" si="8">(K4*N4)/3</f>
        <v>1</v>
      </c>
      <c r="Y4" s="229">
        <f t="shared" ref="Y4:Y40" si="9">(L4*N4)/3</f>
        <v>2</v>
      </c>
    </row>
    <row r="5" spans="2:25" ht="19.5" customHeight="1">
      <c r="B5" s="282" t="s">
        <v>12</v>
      </c>
      <c r="C5" s="205">
        <v>2.8333333333333335</v>
      </c>
      <c r="D5" s="206">
        <v>2</v>
      </c>
      <c r="E5" s="206">
        <v>2.5</v>
      </c>
      <c r="F5" s="206"/>
      <c r="G5" s="206"/>
      <c r="H5" s="206"/>
      <c r="I5" s="206">
        <v>2</v>
      </c>
      <c r="J5" s="206"/>
      <c r="K5" s="206"/>
      <c r="L5" s="207"/>
      <c r="N5" s="226">
        <v>2.66</v>
      </c>
      <c r="O5" s="193" t="s">
        <v>12</v>
      </c>
      <c r="P5" s="230">
        <f t="shared" si="0"/>
        <v>2.5122222222222224</v>
      </c>
      <c r="Q5" s="231">
        <f t="shared" si="1"/>
        <v>1.7733333333333334</v>
      </c>
      <c r="R5" s="231">
        <f t="shared" si="2"/>
        <v>2.2166666666666668</v>
      </c>
      <c r="S5" s="231">
        <f t="shared" si="3"/>
        <v>0</v>
      </c>
      <c r="T5" s="231">
        <f t="shared" si="4"/>
        <v>0</v>
      </c>
      <c r="U5" s="231">
        <f t="shared" si="5"/>
        <v>0</v>
      </c>
      <c r="V5" s="231">
        <f t="shared" si="6"/>
        <v>1.7733333333333334</v>
      </c>
      <c r="W5" s="231">
        <f t="shared" si="7"/>
        <v>0</v>
      </c>
      <c r="X5" s="231">
        <f t="shared" si="8"/>
        <v>0</v>
      </c>
      <c r="Y5" s="232">
        <f t="shared" si="9"/>
        <v>0</v>
      </c>
    </row>
    <row r="6" spans="2:25" ht="19.5" customHeight="1">
      <c r="B6" s="282" t="s">
        <v>13</v>
      </c>
      <c r="C6" s="283">
        <v>3</v>
      </c>
      <c r="D6" s="284">
        <v>2</v>
      </c>
      <c r="E6" s="284">
        <v>1.5</v>
      </c>
      <c r="F6" s="284">
        <v>2</v>
      </c>
      <c r="G6" s="285">
        <v>1.6666666666666667</v>
      </c>
      <c r="H6" s="284">
        <v>1</v>
      </c>
      <c r="I6" s="285">
        <v>2.3333333333333335</v>
      </c>
      <c r="J6" s="284">
        <v>2.4</v>
      </c>
      <c r="K6" s="284">
        <v>2</v>
      </c>
      <c r="L6" s="286">
        <v>2</v>
      </c>
      <c r="N6" s="226">
        <v>1.73</v>
      </c>
      <c r="O6" s="193" t="s">
        <v>13</v>
      </c>
      <c r="P6" s="230">
        <f t="shared" si="0"/>
        <v>1.7299999999999998</v>
      </c>
      <c r="Q6" s="231">
        <f t="shared" si="1"/>
        <v>1.1533333333333333</v>
      </c>
      <c r="R6" s="231">
        <f t="shared" si="2"/>
        <v>0.86499999999999988</v>
      </c>
      <c r="S6" s="231">
        <f t="shared" si="3"/>
        <v>1.1533333333333333</v>
      </c>
      <c r="T6" s="231">
        <f t="shared" si="4"/>
        <v>0.96111111111111114</v>
      </c>
      <c r="U6" s="231">
        <f t="shared" si="5"/>
        <v>0.57666666666666666</v>
      </c>
      <c r="V6" s="231">
        <f t="shared" si="6"/>
        <v>1.3455555555555556</v>
      </c>
      <c r="W6" s="231">
        <f t="shared" si="7"/>
        <v>1.3840000000000001</v>
      </c>
      <c r="X6" s="231">
        <f t="shared" si="8"/>
        <v>1.1533333333333333</v>
      </c>
      <c r="Y6" s="232">
        <f t="shared" si="9"/>
        <v>1.1533333333333333</v>
      </c>
    </row>
    <row r="7" spans="2:25" ht="19.5" customHeight="1">
      <c r="B7" s="282" t="s">
        <v>14</v>
      </c>
      <c r="C7" s="208">
        <v>3</v>
      </c>
      <c r="D7" s="209">
        <v>2</v>
      </c>
      <c r="E7" s="209">
        <v>2</v>
      </c>
      <c r="F7" s="209">
        <v>2.5</v>
      </c>
      <c r="G7" s="209">
        <v>1.5</v>
      </c>
      <c r="H7" s="209">
        <v>1</v>
      </c>
      <c r="I7" s="209">
        <v>3</v>
      </c>
      <c r="J7" s="209">
        <v>2</v>
      </c>
      <c r="K7" s="209">
        <v>1</v>
      </c>
      <c r="L7" s="211">
        <v>2</v>
      </c>
      <c r="N7" s="226">
        <v>3</v>
      </c>
      <c r="O7" s="193" t="s">
        <v>14</v>
      </c>
      <c r="P7" s="230">
        <f t="shared" si="0"/>
        <v>3</v>
      </c>
      <c r="Q7" s="231">
        <f t="shared" si="1"/>
        <v>2</v>
      </c>
      <c r="R7" s="231">
        <f t="shared" si="2"/>
        <v>2</v>
      </c>
      <c r="S7" s="231">
        <f t="shared" si="3"/>
        <v>2.5</v>
      </c>
      <c r="T7" s="231">
        <f t="shared" si="4"/>
        <v>1.5</v>
      </c>
      <c r="U7" s="231">
        <f t="shared" si="5"/>
        <v>1</v>
      </c>
      <c r="V7" s="231">
        <f t="shared" si="6"/>
        <v>3</v>
      </c>
      <c r="W7" s="231">
        <f t="shared" si="7"/>
        <v>2</v>
      </c>
      <c r="X7" s="231">
        <f t="shared" si="8"/>
        <v>1</v>
      </c>
      <c r="Y7" s="232">
        <f t="shared" si="9"/>
        <v>2</v>
      </c>
    </row>
    <row r="8" spans="2:25" ht="19.5" customHeight="1">
      <c r="B8" s="282" t="s">
        <v>54</v>
      </c>
      <c r="C8" s="212">
        <v>2.6666666666666665</v>
      </c>
      <c r="D8" s="210">
        <v>1.6666666666666667</v>
      </c>
      <c r="E8" s="209">
        <v>1</v>
      </c>
      <c r="F8" s="209">
        <v>2</v>
      </c>
      <c r="G8" s="209">
        <v>2.25</v>
      </c>
      <c r="H8" s="209">
        <v>2.2000000000000002</v>
      </c>
      <c r="I8" s="209">
        <v>2.5</v>
      </c>
      <c r="J8" s="209">
        <v>2</v>
      </c>
      <c r="K8" s="209">
        <v>1</v>
      </c>
      <c r="L8" s="211">
        <v>2</v>
      </c>
      <c r="N8" s="226">
        <v>1.75</v>
      </c>
      <c r="O8" s="193" t="s">
        <v>54</v>
      </c>
      <c r="P8" s="230">
        <f t="shared" si="0"/>
        <v>1.5555555555555554</v>
      </c>
      <c r="Q8" s="231">
        <f t="shared" si="1"/>
        <v>0.97222222222222232</v>
      </c>
      <c r="R8" s="231">
        <f t="shared" si="2"/>
        <v>0.58333333333333337</v>
      </c>
      <c r="S8" s="231">
        <f t="shared" si="3"/>
        <v>1.1666666666666667</v>
      </c>
      <c r="T8" s="231">
        <f t="shared" si="4"/>
        <v>1.3125</v>
      </c>
      <c r="U8" s="231">
        <f t="shared" si="5"/>
        <v>1.2833333333333334</v>
      </c>
      <c r="V8" s="231">
        <f t="shared" si="6"/>
        <v>1.4583333333333333</v>
      </c>
      <c r="W8" s="231">
        <f t="shared" si="7"/>
        <v>1.1666666666666667</v>
      </c>
      <c r="X8" s="231">
        <f t="shared" si="8"/>
        <v>0.58333333333333337</v>
      </c>
      <c r="Y8" s="232">
        <f t="shared" si="9"/>
        <v>1.1666666666666667</v>
      </c>
    </row>
    <row r="9" spans="2:25" ht="19.5" customHeight="1">
      <c r="B9" s="282" t="s">
        <v>22</v>
      </c>
      <c r="C9" s="208">
        <v>2.4</v>
      </c>
      <c r="D9" s="209">
        <v>2</v>
      </c>
      <c r="E9" s="209">
        <v>2</v>
      </c>
      <c r="F9" s="209">
        <v>2.2000000000000002</v>
      </c>
      <c r="G9" s="209">
        <v>1.6</v>
      </c>
      <c r="H9" s="209">
        <v>1</v>
      </c>
      <c r="I9" s="209">
        <v>3</v>
      </c>
      <c r="J9" s="209">
        <v>2</v>
      </c>
      <c r="K9" s="209">
        <v>1</v>
      </c>
      <c r="L9" s="211">
        <v>2</v>
      </c>
      <c r="N9" s="226">
        <v>3</v>
      </c>
      <c r="O9" s="193" t="s">
        <v>22</v>
      </c>
      <c r="P9" s="230">
        <f t="shared" si="0"/>
        <v>2.4</v>
      </c>
      <c r="Q9" s="231">
        <f t="shared" si="1"/>
        <v>2</v>
      </c>
      <c r="R9" s="231">
        <f t="shared" si="2"/>
        <v>2</v>
      </c>
      <c r="S9" s="231">
        <f t="shared" si="3"/>
        <v>2.2000000000000002</v>
      </c>
      <c r="T9" s="231">
        <f t="shared" si="4"/>
        <v>1.6000000000000003</v>
      </c>
      <c r="U9" s="231">
        <f t="shared" si="5"/>
        <v>1</v>
      </c>
      <c r="V9" s="231">
        <f t="shared" si="6"/>
        <v>3</v>
      </c>
      <c r="W9" s="231">
        <f t="shared" si="7"/>
        <v>2</v>
      </c>
      <c r="X9" s="231">
        <f t="shared" si="8"/>
        <v>1</v>
      </c>
      <c r="Y9" s="232">
        <f t="shared" si="9"/>
        <v>2</v>
      </c>
    </row>
    <row r="10" spans="2:25" ht="19.5" customHeight="1">
      <c r="B10" s="287" t="s">
        <v>23</v>
      </c>
      <c r="C10" s="212">
        <v>3</v>
      </c>
      <c r="D10" s="210">
        <v>1</v>
      </c>
      <c r="E10" s="209">
        <v>1.75</v>
      </c>
      <c r="F10" s="209">
        <v>2</v>
      </c>
      <c r="G10" s="209">
        <v>2</v>
      </c>
      <c r="H10" s="209">
        <v>0</v>
      </c>
      <c r="I10" s="209">
        <v>3</v>
      </c>
      <c r="J10" s="209">
        <v>1.75</v>
      </c>
      <c r="K10" s="209">
        <v>2</v>
      </c>
      <c r="L10" s="214">
        <v>1.1666666666666667</v>
      </c>
      <c r="N10" s="226">
        <v>2.4</v>
      </c>
      <c r="O10" s="194" t="s">
        <v>23</v>
      </c>
      <c r="P10" s="230">
        <f t="shared" si="0"/>
        <v>2.4</v>
      </c>
      <c r="Q10" s="231">
        <f t="shared" si="1"/>
        <v>0.79999999999999993</v>
      </c>
      <c r="R10" s="231">
        <f t="shared" si="2"/>
        <v>1.4000000000000001</v>
      </c>
      <c r="S10" s="231">
        <f t="shared" si="3"/>
        <v>1.5999999999999999</v>
      </c>
      <c r="T10" s="231">
        <f t="shared" si="4"/>
        <v>1.5999999999999999</v>
      </c>
      <c r="U10" s="231">
        <f t="shared" si="5"/>
        <v>0</v>
      </c>
      <c r="V10" s="231">
        <f t="shared" si="6"/>
        <v>2.4</v>
      </c>
      <c r="W10" s="231">
        <f t="shared" si="7"/>
        <v>1.4000000000000001</v>
      </c>
      <c r="X10" s="231">
        <f t="shared" si="8"/>
        <v>1.5999999999999999</v>
      </c>
      <c r="Y10" s="232">
        <f t="shared" si="9"/>
        <v>0.93333333333333346</v>
      </c>
    </row>
    <row r="11" spans="2:25" ht="19.5" customHeight="1">
      <c r="B11" s="287" t="s">
        <v>24</v>
      </c>
      <c r="C11" s="215">
        <v>3</v>
      </c>
      <c r="D11" s="216">
        <v>1.8333333333333333</v>
      </c>
      <c r="E11" s="216">
        <v>2.1666666666666665</v>
      </c>
      <c r="F11" s="206">
        <v>3</v>
      </c>
      <c r="G11" s="206">
        <v>1.8</v>
      </c>
      <c r="H11" s="206">
        <v>2</v>
      </c>
      <c r="I11" s="206">
        <v>3</v>
      </c>
      <c r="J11" s="206"/>
      <c r="K11" s="206">
        <v>3</v>
      </c>
      <c r="L11" s="207">
        <v>2</v>
      </c>
      <c r="N11" s="226">
        <v>1.95</v>
      </c>
      <c r="O11" s="194" t="s">
        <v>24</v>
      </c>
      <c r="P11" s="230">
        <f t="shared" si="0"/>
        <v>1.95</v>
      </c>
      <c r="Q11" s="231">
        <f t="shared" si="1"/>
        <v>1.1916666666666667</v>
      </c>
      <c r="R11" s="231">
        <f t="shared" si="2"/>
        <v>1.4083333333333332</v>
      </c>
      <c r="S11" s="231">
        <f t="shared" si="3"/>
        <v>1.95</v>
      </c>
      <c r="T11" s="231">
        <f t="shared" si="4"/>
        <v>1.17</v>
      </c>
      <c r="U11" s="231">
        <f t="shared" si="5"/>
        <v>1.3</v>
      </c>
      <c r="V11" s="231">
        <f t="shared" si="6"/>
        <v>1.95</v>
      </c>
      <c r="W11" s="231">
        <f t="shared" si="7"/>
        <v>0</v>
      </c>
      <c r="X11" s="231">
        <f t="shared" si="8"/>
        <v>1.95</v>
      </c>
      <c r="Y11" s="232">
        <f t="shared" si="9"/>
        <v>1.3</v>
      </c>
    </row>
    <row r="12" spans="2:25" ht="19.5" customHeight="1">
      <c r="B12" s="287" t="s">
        <v>25</v>
      </c>
      <c r="C12" s="217">
        <v>2.6666666666666665</v>
      </c>
      <c r="D12" s="218">
        <v>1.6666666666666667</v>
      </c>
      <c r="E12" s="209">
        <v>1</v>
      </c>
      <c r="F12" s="209">
        <v>2</v>
      </c>
      <c r="G12" s="209">
        <v>2.25</v>
      </c>
      <c r="H12" s="209">
        <v>2.2000000000000002</v>
      </c>
      <c r="I12" s="209">
        <v>2.5</v>
      </c>
      <c r="J12" s="218">
        <v>1.6666666666666667</v>
      </c>
      <c r="K12" s="209">
        <v>1.5</v>
      </c>
      <c r="L12" s="211">
        <v>1</v>
      </c>
      <c r="N12" s="226">
        <v>2.5499999999999998</v>
      </c>
      <c r="O12" s="194" t="s">
        <v>25</v>
      </c>
      <c r="P12" s="230">
        <f t="shared" si="0"/>
        <v>2.2666666666666662</v>
      </c>
      <c r="Q12" s="231">
        <f t="shared" si="1"/>
        <v>1.4166666666666667</v>
      </c>
      <c r="R12" s="231">
        <f t="shared" si="2"/>
        <v>0.85</v>
      </c>
      <c r="S12" s="231">
        <f t="shared" si="3"/>
        <v>1.7</v>
      </c>
      <c r="T12" s="231">
        <f t="shared" si="4"/>
        <v>1.9124999999999999</v>
      </c>
      <c r="U12" s="231">
        <f t="shared" si="5"/>
        <v>1.87</v>
      </c>
      <c r="V12" s="231">
        <f t="shared" si="6"/>
        <v>2.125</v>
      </c>
      <c r="W12" s="231">
        <f t="shared" si="7"/>
        <v>1.4166666666666667</v>
      </c>
      <c r="X12" s="231">
        <f t="shared" si="8"/>
        <v>1.2749999999999999</v>
      </c>
      <c r="Y12" s="232">
        <f t="shared" si="9"/>
        <v>0.85</v>
      </c>
    </row>
    <row r="13" spans="2:25" ht="19.5" customHeight="1">
      <c r="B13" s="287" t="s">
        <v>26</v>
      </c>
      <c r="C13" s="208">
        <v>3</v>
      </c>
      <c r="D13" s="209">
        <v>3</v>
      </c>
      <c r="E13" s="209">
        <v>2.4</v>
      </c>
      <c r="F13" s="209">
        <v>2</v>
      </c>
      <c r="G13" s="209">
        <v>1.4</v>
      </c>
      <c r="H13" s="209">
        <v>2</v>
      </c>
      <c r="I13" s="209">
        <v>2.2000000000000002</v>
      </c>
      <c r="J13" s="209">
        <v>2</v>
      </c>
      <c r="K13" s="209">
        <v>1</v>
      </c>
      <c r="L13" s="211">
        <v>2</v>
      </c>
      <c r="N13" s="226">
        <v>2.69</v>
      </c>
      <c r="O13" s="194" t="s">
        <v>26</v>
      </c>
      <c r="P13" s="230">
        <f t="shared" si="0"/>
        <v>2.69</v>
      </c>
      <c r="Q13" s="231">
        <f t="shared" si="1"/>
        <v>2.69</v>
      </c>
      <c r="R13" s="231">
        <f t="shared" si="2"/>
        <v>2.1519999999999997</v>
      </c>
      <c r="S13" s="231">
        <f t="shared" si="3"/>
        <v>1.7933333333333332</v>
      </c>
      <c r="T13" s="231">
        <f t="shared" si="4"/>
        <v>1.2553333333333332</v>
      </c>
      <c r="U13" s="231">
        <f t="shared" si="5"/>
        <v>1.7933333333333332</v>
      </c>
      <c r="V13" s="231">
        <f t="shared" si="6"/>
        <v>1.9726666666666668</v>
      </c>
      <c r="W13" s="231">
        <f t="shared" si="7"/>
        <v>1.7933333333333332</v>
      </c>
      <c r="X13" s="231">
        <f t="shared" si="8"/>
        <v>0.89666666666666661</v>
      </c>
      <c r="Y13" s="232">
        <f t="shared" si="9"/>
        <v>1.7933333333333332</v>
      </c>
    </row>
    <row r="14" spans="2:25" ht="19.5" customHeight="1">
      <c r="B14" s="287" t="s">
        <v>27</v>
      </c>
      <c r="C14" s="208">
        <v>1</v>
      </c>
      <c r="D14" s="209">
        <v>2</v>
      </c>
      <c r="E14" s="209">
        <v>1</v>
      </c>
      <c r="F14" s="209">
        <v>2</v>
      </c>
      <c r="G14" s="209"/>
      <c r="H14" s="209">
        <v>3</v>
      </c>
      <c r="I14" s="209">
        <v>2</v>
      </c>
      <c r="J14" s="209">
        <v>1</v>
      </c>
      <c r="K14" s="209">
        <v>1</v>
      </c>
      <c r="L14" s="211"/>
      <c r="N14" s="226">
        <v>3</v>
      </c>
      <c r="O14" s="194" t="s">
        <v>27</v>
      </c>
      <c r="P14" s="230">
        <f t="shared" si="0"/>
        <v>1</v>
      </c>
      <c r="Q14" s="231">
        <f t="shared" si="1"/>
        <v>2</v>
      </c>
      <c r="R14" s="231">
        <f t="shared" si="2"/>
        <v>1</v>
      </c>
      <c r="S14" s="231">
        <f t="shared" si="3"/>
        <v>2</v>
      </c>
      <c r="T14" s="231">
        <f t="shared" si="4"/>
        <v>0</v>
      </c>
      <c r="U14" s="231">
        <f t="shared" si="5"/>
        <v>3</v>
      </c>
      <c r="V14" s="231">
        <f t="shared" si="6"/>
        <v>2</v>
      </c>
      <c r="W14" s="231">
        <f t="shared" si="7"/>
        <v>1</v>
      </c>
      <c r="X14" s="231">
        <f t="shared" si="8"/>
        <v>1</v>
      </c>
      <c r="Y14" s="232">
        <f t="shared" si="9"/>
        <v>0</v>
      </c>
    </row>
    <row r="15" spans="2:25" ht="19.5" customHeight="1">
      <c r="B15" s="287" t="s">
        <v>28</v>
      </c>
      <c r="C15" s="208">
        <v>3</v>
      </c>
      <c r="D15" s="218">
        <v>2.3333333333333335</v>
      </c>
      <c r="E15" s="218">
        <v>1.75</v>
      </c>
      <c r="F15" s="218">
        <v>2.1666666666666665</v>
      </c>
      <c r="G15" s="218">
        <v>2</v>
      </c>
      <c r="H15" s="209">
        <v>2</v>
      </c>
      <c r="I15" s="209">
        <v>2</v>
      </c>
      <c r="J15" s="209">
        <v>3</v>
      </c>
      <c r="K15" s="209">
        <v>3</v>
      </c>
      <c r="L15" s="211">
        <v>2</v>
      </c>
      <c r="N15" s="226">
        <v>3</v>
      </c>
      <c r="O15" s="194" t="s">
        <v>28</v>
      </c>
      <c r="P15" s="230">
        <f t="shared" si="0"/>
        <v>3</v>
      </c>
      <c r="Q15" s="231">
        <f t="shared" si="1"/>
        <v>2.3333333333333335</v>
      </c>
      <c r="R15" s="231">
        <f t="shared" si="2"/>
        <v>1.75</v>
      </c>
      <c r="S15" s="231">
        <f t="shared" si="3"/>
        <v>2.1666666666666665</v>
      </c>
      <c r="T15" s="231">
        <f t="shared" si="4"/>
        <v>2</v>
      </c>
      <c r="U15" s="231">
        <f t="shared" si="5"/>
        <v>2</v>
      </c>
      <c r="V15" s="231">
        <f t="shared" si="6"/>
        <v>2</v>
      </c>
      <c r="W15" s="231">
        <f t="shared" si="7"/>
        <v>3</v>
      </c>
      <c r="X15" s="231">
        <f t="shared" si="8"/>
        <v>3</v>
      </c>
      <c r="Y15" s="232">
        <f t="shared" si="9"/>
        <v>2</v>
      </c>
    </row>
    <row r="16" spans="2:25" ht="19.5" customHeight="1">
      <c r="B16" s="287" t="s">
        <v>29</v>
      </c>
      <c r="C16" s="208">
        <v>3</v>
      </c>
      <c r="D16" s="218">
        <v>1.3333333333333333</v>
      </c>
      <c r="E16" s="218">
        <v>2.1666666666666665</v>
      </c>
      <c r="F16" s="209">
        <v>2</v>
      </c>
      <c r="G16" s="218">
        <v>1.6666666666666667</v>
      </c>
      <c r="H16" s="209">
        <v>1.5</v>
      </c>
      <c r="I16" s="209">
        <v>3</v>
      </c>
      <c r="J16" s="218">
        <v>2.1666666666666665</v>
      </c>
      <c r="K16" s="218">
        <v>1.1666666666666667</v>
      </c>
      <c r="L16" s="214">
        <v>2.3333333333333335</v>
      </c>
      <c r="N16" s="298">
        <v>3</v>
      </c>
      <c r="O16" s="194" t="s">
        <v>29</v>
      </c>
      <c r="P16" s="230">
        <f t="shared" si="0"/>
        <v>3</v>
      </c>
      <c r="Q16" s="231">
        <f t="shared" si="1"/>
        <v>1.3333333333333333</v>
      </c>
      <c r="R16" s="231">
        <f t="shared" si="2"/>
        <v>2.1666666666666665</v>
      </c>
      <c r="S16" s="231">
        <f t="shared" si="3"/>
        <v>2</v>
      </c>
      <c r="T16" s="231">
        <f t="shared" si="4"/>
        <v>1.6666666666666667</v>
      </c>
      <c r="U16" s="231">
        <f t="shared" si="5"/>
        <v>1.5</v>
      </c>
      <c r="V16" s="231">
        <f t="shared" si="6"/>
        <v>3</v>
      </c>
      <c r="W16" s="231">
        <f t="shared" si="7"/>
        <v>2.1666666666666665</v>
      </c>
      <c r="X16" s="231">
        <f t="shared" si="8"/>
        <v>1.1666666666666667</v>
      </c>
      <c r="Y16" s="232">
        <f t="shared" si="9"/>
        <v>2.3333333333333335</v>
      </c>
    </row>
    <row r="17" spans="2:25" ht="19.5" customHeight="1">
      <c r="B17" s="287" t="s">
        <v>30</v>
      </c>
      <c r="C17" s="208">
        <v>3</v>
      </c>
      <c r="D17" s="209">
        <v>2</v>
      </c>
      <c r="E17" s="209">
        <v>2.2000000000000002</v>
      </c>
      <c r="F17" s="209">
        <v>2</v>
      </c>
      <c r="G17" s="209">
        <v>1</v>
      </c>
      <c r="H17" s="209">
        <v>1.6</v>
      </c>
      <c r="I17" s="209">
        <v>2</v>
      </c>
      <c r="J17" s="209">
        <v>2</v>
      </c>
      <c r="K17" s="209">
        <v>1</v>
      </c>
      <c r="L17" s="211">
        <v>2.4</v>
      </c>
      <c r="N17" s="299">
        <v>2.46</v>
      </c>
      <c r="O17" s="194" t="s">
        <v>30</v>
      </c>
      <c r="P17" s="230">
        <f t="shared" si="0"/>
        <v>2.46</v>
      </c>
      <c r="Q17" s="231">
        <f t="shared" si="1"/>
        <v>1.64</v>
      </c>
      <c r="R17" s="231">
        <f t="shared" si="2"/>
        <v>1.804</v>
      </c>
      <c r="S17" s="231">
        <f t="shared" si="3"/>
        <v>1.64</v>
      </c>
      <c r="T17" s="231">
        <f t="shared" si="4"/>
        <v>0.82</v>
      </c>
      <c r="U17" s="231">
        <f t="shared" si="5"/>
        <v>1.3120000000000001</v>
      </c>
      <c r="V17" s="231">
        <f t="shared" si="6"/>
        <v>1.64</v>
      </c>
      <c r="W17" s="231">
        <f t="shared" si="7"/>
        <v>1.64</v>
      </c>
      <c r="X17" s="231">
        <f t="shared" si="8"/>
        <v>0.82</v>
      </c>
      <c r="Y17" s="232">
        <f t="shared" si="9"/>
        <v>1.968</v>
      </c>
    </row>
    <row r="18" spans="2:25" ht="19.5" customHeight="1">
      <c r="B18" s="287" t="s">
        <v>31</v>
      </c>
      <c r="C18" s="208">
        <v>3</v>
      </c>
      <c r="D18" s="209">
        <v>2.8</v>
      </c>
      <c r="E18" s="209">
        <v>3</v>
      </c>
      <c r="F18" s="209">
        <v>2</v>
      </c>
      <c r="G18" s="209">
        <v>1</v>
      </c>
      <c r="H18" s="209">
        <v>1.8</v>
      </c>
      <c r="I18" s="209">
        <v>2.6</v>
      </c>
      <c r="J18" s="209">
        <v>2</v>
      </c>
      <c r="K18" s="209">
        <v>1</v>
      </c>
      <c r="L18" s="211">
        <v>2</v>
      </c>
      <c r="N18" s="298">
        <v>2.85</v>
      </c>
      <c r="O18" s="194" t="s">
        <v>31</v>
      </c>
      <c r="P18" s="230">
        <f t="shared" si="0"/>
        <v>2.85</v>
      </c>
      <c r="Q18" s="231">
        <f t="shared" si="1"/>
        <v>2.6599999999999997</v>
      </c>
      <c r="R18" s="231">
        <f t="shared" si="2"/>
        <v>2.85</v>
      </c>
      <c r="S18" s="231">
        <f t="shared" si="3"/>
        <v>1.9000000000000001</v>
      </c>
      <c r="T18" s="231">
        <f t="shared" si="4"/>
        <v>0.95000000000000007</v>
      </c>
      <c r="U18" s="231">
        <f t="shared" si="5"/>
        <v>1.71</v>
      </c>
      <c r="V18" s="231">
        <f t="shared" si="6"/>
        <v>2.4700000000000002</v>
      </c>
      <c r="W18" s="231">
        <f t="shared" si="7"/>
        <v>1.9000000000000001</v>
      </c>
      <c r="X18" s="231">
        <f t="shared" si="8"/>
        <v>0.95000000000000007</v>
      </c>
      <c r="Y18" s="232">
        <f t="shared" si="9"/>
        <v>1.9000000000000001</v>
      </c>
    </row>
    <row r="19" spans="2:25" ht="19.5" customHeight="1">
      <c r="B19" s="287" t="s">
        <v>32</v>
      </c>
      <c r="C19" s="217">
        <v>2.6666666666666665</v>
      </c>
      <c r="D19" s="218">
        <v>2</v>
      </c>
      <c r="E19" s="218">
        <v>2</v>
      </c>
      <c r="F19" s="218">
        <v>2.2000000000000002</v>
      </c>
      <c r="G19" s="218">
        <v>3</v>
      </c>
      <c r="H19" s="218">
        <v>2.3333333333333335</v>
      </c>
      <c r="I19" s="218">
        <v>2</v>
      </c>
      <c r="J19" s="218">
        <v>2.3333333333333335</v>
      </c>
      <c r="K19" s="218"/>
      <c r="L19" s="214">
        <v>2</v>
      </c>
      <c r="N19" s="298">
        <v>2.95</v>
      </c>
      <c r="O19" s="194" t="s">
        <v>32</v>
      </c>
      <c r="P19" s="230">
        <f t="shared" si="0"/>
        <v>2.6222222222222222</v>
      </c>
      <c r="Q19" s="231">
        <f t="shared" si="1"/>
        <v>1.9666666666666668</v>
      </c>
      <c r="R19" s="231">
        <f t="shared" si="2"/>
        <v>1.9666666666666668</v>
      </c>
      <c r="S19" s="231">
        <f t="shared" si="3"/>
        <v>2.1633333333333336</v>
      </c>
      <c r="T19" s="231">
        <f t="shared" si="4"/>
        <v>2.9500000000000006</v>
      </c>
      <c r="U19" s="231">
        <f t="shared" si="5"/>
        <v>2.2944444444444447</v>
      </c>
      <c r="V19" s="231">
        <f t="shared" si="6"/>
        <v>1.9666666666666668</v>
      </c>
      <c r="W19" s="231">
        <f t="shared" si="7"/>
        <v>2.2944444444444447</v>
      </c>
      <c r="X19" s="231">
        <f t="shared" si="8"/>
        <v>0</v>
      </c>
      <c r="Y19" s="232">
        <f t="shared" si="9"/>
        <v>1.9666666666666668</v>
      </c>
    </row>
    <row r="20" spans="2:25" ht="19.5" customHeight="1">
      <c r="B20" s="287" t="s">
        <v>33</v>
      </c>
      <c r="C20" s="208">
        <v>3</v>
      </c>
      <c r="D20" s="209">
        <v>2.4</v>
      </c>
      <c r="E20" s="209">
        <v>3</v>
      </c>
      <c r="F20" s="209">
        <v>2</v>
      </c>
      <c r="G20" s="209">
        <v>2.5</v>
      </c>
      <c r="H20" s="209">
        <v>2</v>
      </c>
      <c r="I20" s="209">
        <v>2</v>
      </c>
      <c r="J20" s="209">
        <v>2</v>
      </c>
      <c r="K20" s="209">
        <v>1</v>
      </c>
      <c r="L20" s="211">
        <v>2.2000000000000002</v>
      </c>
      <c r="N20" s="298">
        <v>3</v>
      </c>
      <c r="O20" s="194" t="s">
        <v>33</v>
      </c>
      <c r="P20" s="230">
        <f t="shared" si="0"/>
        <v>3</v>
      </c>
      <c r="Q20" s="231">
        <f t="shared" si="1"/>
        <v>2.4</v>
      </c>
      <c r="R20" s="231">
        <f t="shared" si="2"/>
        <v>3</v>
      </c>
      <c r="S20" s="231">
        <f t="shared" si="3"/>
        <v>2</v>
      </c>
      <c r="T20" s="231">
        <f t="shared" si="4"/>
        <v>2.5</v>
      </c>
      <c r="U20" s="231">
        <f t="shared" si="5"/>
        <v>2</v>
      </c>
      <c r="V20" s="231">
        <f t="shared" si="6"/>
        <v>2</v>
      </c>
      <c r="W20" s="231">
        <f t="shared" si="7"/>
        <v>2</v>
      </c>
      <c r="X20" s="231">
        <f t="shared" si="8"/>
        <v>1</v>
      </c>
      <c r="Y20" s="232">
        <f t="shared" si="9"/>
        <v>2.2000000000000002</v>
      </c>
    </row>
    <row r="21" spans="2:25" ht="19.5" customHeight="1">
      <c r="B21" s="287" t="s">
        <v>34</v>
      </c>
      <c r="C21" s="208">
        <v>3</v>
      </c>
      <c r="D21" s="209">
        <v>2.4</v>
      </c>
      <c r="E21" s="209">
        <v>2.75</v>
      </c>
      <c r="F21" s="209">
        <v>2.25</v>
      </c>
      <c r="G21" s="209">
        <v>1</v>
      </c>
      <c r="H21" s="209">
        <v>1.75</v>
      </c>
      <c r="I21" s="209">
        <v>2.6</v>
      </c>
      <c r="J21" s="209">
        <v>2.8</v>
      </c>
      <c r="K21" s="209">
        <v>1.2</v>
      </c>
      <c r="L21" s="211">
        <v>2.25</v>
      </c>
      <c r="N21" s="298">
        <v>2.63</v>
      </c>
      <c r="O21" s="194" t="s">
        <v>34</v>
      </c>
      <c r="P21" s="230">
        <f t="shared" si="0"/>
        <v>2.63</v>
      </c>
      <c r="Q21" s="231">
        <f t="shared" si="1"/>
        <v>2.1039999999999996</v>
      </c>
      <c r="R21" s="231">
        <f t="shared" si="2"/>
        <v>2.4108333333333332</v>
      </c>
      <c r="S21" s="231">
        <f t="shared" si="3"/>
        <v>1.9724999999999999</v>
      </c>
      <c r="T21" s="231">
        <f t="shared" si="4"/>
        <v>0.87666666666666659</v>
      </c>
      <c r="U21" s="231">
        <f t="shared" si="5"/>
        <v>1.5341666666666667</v>
      </c>
      <c r="V21" s="231">
        <f t="shared" si="6"/>
        <v>2.2793333333333332</v>
      </c>
      <c r="W21" s="231">
        <f t="shared" si="7"/>
        <v>2.4546666666666663</v>
      </c>
      <c r="X21" s="231">
        <f t="shared" si="8"/>
        <v>1.0519999999999998</v>
      </c>
      <c r="Y21" s="232">
        <f t="shared" si="9"/>
        <v>1.9724999999999999</v>
      </c>
    </row>
    <row r="22" spans="2:25" ht="19.5" customHeight="1">
      <c r="B22" s="287" t="s">
        <v>35</v>
      </c>
      <c r="C22" s="208">
        <v>3</v>
      </c>
      <c r="D22" s="209">
        <v>3</v>
      </c>
      <c r="E22" s="209">
        <v>3</v>
      </c>
      <c r="F22" s="209">
        <v>2.2000000000000002</v>
      </c>
      <c r="G22" s="209">
        <v>1</v>
      </c>
      <c r="H22" s="209">
        <v>2</v>
      </c>
      <c r="I22" s="209">
        <v>2.8</v>
      </c>
      <c r="J22" s="209">
        <v>3</v>
      </c>
      <c r="K22" s="209">
        <v>1</v>
      </c>
      <c r="L22" s="211">
        <v>2</v>
      </c>
      <c r="N22" s="298">
        <v>3</v>
      </c>
      <c r="O22" s="194" t="s">
        <v>35</v>
      </c>
      <c r="P22" s="230">
        <f t="shared" si="0"/>
        <v>3</v>
      </c>
      <c r="Q22" s="231">
        <f t="shared" si="1"/>
        <v>3</v>
      </c>
      <c r="R22" s="231">
        <f t="shared" si="2"/>
        <v>3</v>
      </c>
      <c r="S22" s="231">
        <f t="shared" si="3"/>
        <v>2.2000000000000002</v>
      </c>
      <c r="T22" s="231">
        <f t="shared" si="4"/>
        <v>1</v>
      </c>
      <c r="U22" s="231">
        <f t="shared" si="5"/>
        <v>2</v>
      </c>
      <c r="V22" s="231">
        <f t="shared" si="6"/>
        <v>2.7999999999999994</v>
      </c>
      <c r="W22" s="231">
        <f t="shared" si="7"/>
        <v>3</v>
      </c>
      <c r="X22" s="231">
        <f t="shared" si="8"/>
        <v>1</v>
      </c>
      <c r="Y22" s="232">
        <f t="shared" si="9"/>
        <v>2</v>
      </c>
    </row>
    <row r="23" spans="2:25" ht="19.5" customHeight="1">
      <c r="B23" s="287" t="s">
        <v>36</v>
      </c>
      <c r="C23" s="208">
        <v>3</v>
      </c>
      <c r="D23" s="209">
        <v>3</v>
      </c>
      <c r="E23" s="218">
        <v>1.6666666666666667</v>
      </c>
      <c r="F23" s="209">
        <v>2.2000000000000002</v>
      </c>
      <c r="G23" s="209">
        <v>2.2000000000000002</v>
      </c>
      <c r="H23" s="209">
        <v>2.4</v>
      </c>
      <c r="I23" s="209">
        <v>2.4</v>
      </c>
      <c r="J23" s="209">
        <v>2</v>
      </c>
      <c r="K23" s="209">
        <v>1</v>
      </c>
      <c r="L23" s="211">
        <v>2</v>
      </c>
      <c r="N23" s="298">
        <v>1.71</v>
      </c>
      <c r="O23" s="194" t="s">
        <v>36</v>
      </c>
      <c r="P23" s="230">
        <f t="shared" si="0"/>
        <v>1.71</v>
      </c>
      <c r="Q23" s="231">
        <f t="shared" si="1"/>
        <v>1.71</v>
      </c>
      <c r="R23" s="231">
        <f t="shared" si="2"/>
        <v>0.95000000000000007</v>
      </c>
      <c r="S23" s="231">
        <f t="shared" si="3"/>
        <v>1.254</v>
      </c>
      <c r="T23" s="231">
        <f t="shared" si="4"/>
        <v>1.254</v>
      </c>
      <c r="U23" s="231">
        <f t="shared" si="5"/>
        <v>1.3680000000000001</v>
      </c>
      <c r="V23" s="231">
        <f t="shared" si="6"/>
        <v>1.3680000000000001</v>
      </c>
      <c r="W23" s="231">
        <f t="shared" si="7"/>
        <v>1.1399999999999999</v>
      </c>
      <c r="X23" s="231">
        <f t="shared" si="8"/>
        <v>0.56999999999999995</v>
      </c>
      <c r="Y23" s="232">
        <f t="shared" si="9"/>
        <v>1.1399999999999999</v>
      </c>
    </row>
    <row r="24" spans="2:25" ht="19.5" customHeight="1">
      <c r="B24" s="287" t="s">
        <v>37</v>
      </c>
      <c r="C24" s="208">
        <v>3</v>
      </c>
      <c r="D24" s="209">
        <v>2.8</v>
      </c>
      <c r="E24" s="209">
        <v>3</v>
      </c>
      <c r="F24" s="209">
        <v>2.2000000000000002</v>
      </c>
      <c r="G24" s="209">
        <v>2</v>
      </c>
      <c r="H24" s="209">
        <v>2</v>
      </c>
      <c r="I24" s="209">
        <v>3</v>
      </c>
      <c r="J24" s="209">
        <v>3</v>
      </c>
      <c r="K24" s="209">
        <v>1.8</v>
      </c>
      <c r="L24" s="211">
        <v>2</v>
      </c>
      <c r="N24" s="298">
        <v>1.76</v>
      </c>
      <c r="O24" s="194" t="s">
        <v>37</v>
      </c>
      <c r="P24" s="230">
        <f t="shared" si="0"/>
        <v>1.76</v>
      </c>
      <c r="Q24" s="231">
        <f t="shared" si="1"/>
        <v>1.6426666666666667</v>
      </c>
      <c r="R24" s="231">
        <f t="shared" si="2"/>
        <v>1.76</v>
      </c>
      <c r="S24" s="231">
        <f t="shared" si="3"/>
        <v>1.2906666666666669</v>
      </c>
      <c r="T24" s="231">
        <f t="shared" si="4"/>
        <v>1.1733333333333333</v>
      </c>
      <c r="U24" s="231">
        <f t="shared" si="5"/>
        <v>1.1733333333333333</v>
      </c>
      <c r="V24" s="231">
        <f t="shared" si="6"/>
        <v>1.76</v>
      </c>
      <c r="W24" s="231">
        <f t="shared" si="7"/>
        <v>1.76</v>
      </c>
      <c r="X24" s="231">
        <f t="shared" si="8"/>
        <v>1.056</v>
      </c>
      <c r="Y24" s="232">
        <f t="shared" si="9"/>
        <v>1.1733333333333333</v>
      </c>
    </row>
    <row r="25" spans="2:25" ht="19.5" customHeight="1">
      <c r="B25" s="287" t="s">
        <v>38</v>
      </c>
      <c r="C25" s="208">
        <v>3</v>
      </c>
      <c r="D25" s="209">
        <v>2.8</v>
      </c>
      <c r="E25" s="209">
        <v>3</v>
      </c>
      <c r="F25" s="209">
        <v>2.5</v>
      </c>
      <c r="G25" s="209">
        <v>1</v>
      </c>
      <c r="H25" s="218">
        <v>1.6666666666666667</v>
      </c>
      <c r="I25" s="209">
        <v>2.4</v>
      </c>
      <c r="J25" s="209">
        <v>1.8</v>
      </c>
      <c r="K25" s="209">
        <v>1</v>
      </c>
      <c r="L25" s="211">
        <v>2</v>
      </c>
      <c r="N25" s="298">
        <v>2.94</v>
      </c>
      <c r="O25" s="194" t="s">
        <v>38</v>
      </c>
      <c r="P25" s="230">
        <f t="shared" si="0"/>
        <v>2.94</v>
      </c>
      <c r="Q25" s="231">
        <f t="shared" si="1"/>
        <v>2.7439999999999998</v>
      </c>
      <c r="R25" s="231">
        <f t="shared" si="2"/>
        <v>2.94</v>
      </c>
      <c r="S25" s="231">
        <f t="shared" si="3"/>
        <v>2.4499999999999997</v>
      </c>
      <c r="T25" s="231">
        <f t="shared" si="4"/>
        <v>0.98</v>
      </c>
      <c r="U25" s="231">
        <f t="shared" si="5"/>
        <v>1.6333333333333335</v>
      </c>
      <c r="V25" s="231">
        <f t="shared" si="6"/>
        <v>2.3519999999999999</v>
      </c>
      <c r="W25" s="231">
        <f t="shared" si="7"/>
        <v>1.764</v>
      </c>
      <c r="X25" s="231">
        <f t="shared" si="8"/>
        <v>0.98</v>
      </c>
      <c r="Y25" s="232">
        <f t="shared" si="9"/>
        <v>1.96</v>
      </c>
    </row>
    <row r="26" spans="2:25" ht="19.5" customHeight="1">
      <c r="B26" s="287" t="s">
        <v>39</v>
      </c>
      <c r="C26" s="208">
        <v>3</v>
      </c>
      <c r="D26" s="209">
        <v>2</v>
      </c>
      <c r="E26" s="209">
        <v>2.5</v>
      </c>
      <c r="F26" s="209">
        <v>2.8</v>
      </c>
      <c r="G26" s="209">
        <v>1</v>
      </c>
      <c r="H26" s="209">
        <v>1.4</v>
      </c>
      <c r="I26" s="209">
        <v>2</v>
      </c>
      <c r="J26" s="209">
        <v>3</v>
      </c>
      <c r="K26" s="209">
        <v>1</v>
      </c>
      <c r="L26" s="211">
        <v>2.6</v>
      </c>
      <c r="N26" s="298">
        <v>3</v>
      </c>
      <c r="O26" s="194" t="s">
        <v>39</v>
      </c>
      <c r="P26" s="230">
        <f t="shared" si="0"/>
        <v>3</v>
      </c>
      <c r="Q26" s="231">
        <f t="shared" si="1"/>
        <v>2</v>
      </c>
      <c r="R26" s="231">
        <f t="shared" si="2"/>
        <v>2.5</v>
      </c>
      <c r="S26" s="231">
        <f t="shared" si="3"/>
        <v>2.7999999999999994</v>
      </c>
      <c r="T26" s="231">
        <f t="shared" si="4"/>
        <v>1</v>
      </c>
      <c r="U26" s="231">
        <f t="shared" si="5"/>
        <v>1.3999999999999997</v>
      </c>
      <c r="V26" s="231">
        <f t="shared" si="6"/>
        <v>2</v>
      </c>
      <c r="W26" s="231">
        <f t="shared" si="7"/>
        <v>3</v>
      </c>
      <c r="X26" s="231">
        <f t="shared" si="8"/>
        <v>1</v>
      </c>
      <c r="Y26" s="232">
        <f t="shared" si="9"/>
        <v>2.6</v>
      </c>
    </row>
    <row r="27" spans="2:25" ht="19.5" customHeight="1">
      <c r="B27" s="287" t="s">
        <v>40</v>
      </c>
      <c r="C27" s="208">
        <v>2</v>
      </c>
      <c r="D27" s="209">
        <v>1</v>
      </c>
      <c r="E27" s="209"/>
      <c r="F27" s="209">
        <v>2</v>
      </c>
      <c r="G27" s="209">
        <v>3</v>
      </c>
      <c r="H27" s="209"/>
      <c r="I27" s="209">
        <v>2.2000000000000002</v>
      </c>
      <c r="J27" s="209"/>
      <c r="K27" s="209"/>
      <c r="L27" s="211"/>
      <c r="N27" s="298">
        <v>3</v>
      </c>
      <c r="O27" s="194" t="s">
        <v>40</v>
      </c>
      <c r="P27" s="230">
        <f t="shared" si="0"/>
        <v>2</v>
      </c>
      <c r="Q27" s="231">
        <f t="shared" si="1"/>
        <v>1</v>
      </c>
      <c r="R27" s="231">
        <f t="shared" si="2"/>
        <v>0</v>
      </c>
      <c r="S27" s="231">
        <f t="shared" si="3"/>
        <v>2</v>
      </c>
      <c r="T27" s="231">
        <f t="shared" si="4"/>
        <v>3</v>
      </c>
      <c r="U27" s="231">
        <f t="shared" si="5"/>
        <v>0</v>
      </c>
      <c r="V27" s="231">
        <f t="shared" si="6"/>
        <v>2.2000000000000002</v>
      </c>
      <c r="W27" s="231">
        <f t="shared" si="7"/>
        <v>0</v>
      </c>
      <c r="X27" s="231">
        <f t="shared" si="8"/>
        <v>0</v>
      </c>
      <c r="Y27" s="232">
        <f t="shared" si="9"/>
        <v>0</v>
      </c>
    </row>
    <row r="28" spans="2:25" ht="19.5" customHeight="1">
      <c r="B28" s="287" t="s">
        <v>41</v>
      </c>
      <c r="C28" s="208">
        <v>3</v>
      </c>
      <c r="D28" s="209">
        <v>2</v>
      </c>
      <c r="E28" s="209">
        <v>2</v>
      </c>
      <c r="F28" s="218">
        <v>2.6666666666666665</v>
      </c>
      <c r="G28" s="209">
        <v>1</v>
      </c>
      <c r="H28" s="209"/>
      <c r="I28" s="209">
        <v>2.2000000000000002</v>
      </c>
      <c r="J28" s="209">
        <v>2.4</v>
      </c>
      <c r="K28" s="209">
        <v>1.6</v>
      </c>
      <c r="L28" s="211">
        <v>1.8</v>
      </c>
      <c r="N28" s="298">
        <v>1.8</v>
      </c>
      <c r="O28" s="194" t="s">
        <v>41</v>
      </c>
      <c r="P28" s="230">
        <f t="shared" si="0"/>
        <v>1.8</v>
      </c>
      <c r="Q28" s="231">
        <f t="shared" si="1"/>
        <v>1.2</v>
      </c>
      <c r="R28" s="231">
        <f t="shared" si="2"/>
        <v>1.2</v>
      </c>
      <c r="S28" s="231">
        <f t="shared" si="3"/>
        <v>1.5999999999999999</v>
      </c>
      <c r="T28" s="231">
        <f t="shared" si="4"/>
        <v>0.6</v>
      </c>
      <c r="U28" s="231">
        <f t="shared" si="5"/>
        <v>0</v>
      </c>
      <c r="V28" s="231">
        <f t="shared" si="6"/>
        <v>1.32</v>
      </c>
      <c r="W28" s="231">
        <f t="shared" si="7"/>
        <v>1.4400000000000002</v>
      </c>
      <c r="X28" s="231">
        <f t="shared" si="8"/>
        <v>0.96000000000000008</v>
      </c>
      <c r="Y28" s="232">
        <f t="shared" si="9"/>
        <v>1.08</v>
      </c>
    </row>
    <row r="29" spans="2:25" ht="19.5" customHeight="1">
      <c r="B29" s="287" t="s">
        <v>42</v>
      </c>
      <c r="C29" s="208">
        <v>3</v>
      </c>
      <c r="D29" s="209">
        <v>2.8</v>
      </c>
      <c r="E29" s="209">
        <v>2.4</v>
      </c>
      <c r="F29" s="209">
        <v>2.8</v>
      </c>
      <c r="G29" s="209">
        <v>1</v>
      </c>
      <c r="H29" s="209">
        <v>2</v>
      </c>
      <c r="I29" s="209">
        <v>3</v>
      </c>
      <c r="J29" s="209">
        <v>3</v>
      </c>
      <c r="K29" s="209">
        <v>1.25</v>
      </c>
      <c r="L29" s="211">
        <v>2</v>
      </c>
      <c r="N29" s="298">
        <v>3</v>
      </c>
      <c r="O29" s="194" t="s">
        <v>42</v>
      </c>
      <c r="P29" s="230">
        <f t="shared" si="0"/>
        <v>3</v>
      </c>
      <c r="Q29" s="231">
        <f t="shared" si="1"/>
        <v>2.7999999999999994</v>
      </c>
      <c r="R29" s="231">
        <f t="shared" si="2"/>
        <v>2.4</v>
      </c>
      <c r="S29" s="231">
        <f t="shared" si="3"/>
        <v>2.7999999999999994</v>
      </c>
      <c r="T29" s="231">
        <f t="shared" si="4"/>
        <v>1</v>
      </c>
      <c r="U29" s="231">
        <f t="shared" si="5"/>
        <v>2</v>
      </c>
      <c r="V29" s="231">
        <f t="shared" si="6"/>
        <v>3</v>
      </c>
      <c r="W29" s="231">
        <f t="shared" si="7"/>
        <v>3</v>
      </c>
      <c r="X29" s="231">
        <f t="shared" si="8"/>
        <v>1.25</v>
      </c>
      <c r="Y29" s="232">
        <f t="shared" si="9"/>
        <v>2</v>
      </c>
    </row>
    <row r="30" spans="2:25" ht="19.5" customHeight="1">
      <c r="B30" s="287" t="s">
        <v>43</v>
      </c>
      <c r="C30" s="208">
        <v>3</v>
      </c>
      <c r="D30" s="209">
        <v>2.4</v>
      </c>
      <c r="E30" s="209">
        <v>2</v>
      </c>
      <c r="F30" s="209">
        <v>2</v>
      </c>
      <c r="G30" s="209">
        <v>1.6</v>
      </c>
      <c r="H30" s="209">
        <v>2.2000000000000002</v>
      </c>
      <c r="I30" s="209">
        <v>2.8</v>
      </c>
      <c r="J30" s="209">
        <v>2</v>
      </c>
      <c r="K30" s="209">
        <v>1</v>
      </c>
      <c r="L30" s="211">
        <v>2</v>
      </c>
      <c r="N30" s="298">
        <v>2.1</v>
      </c>
      <c r="O30" s="194" t="s">
        <v>43</v>
      </c>
      <c r="P30" s="230">
        <f t="shared" si="0"/>
        <v>2.1</v>
      </c>
      <c r="Q30" s="231">
        <f t="shared" si="1"/>
        <v>1.68</v>
      </c>
      <c r="R30" s="231">
        <f t="shared" si="2"/>
        <v>1.4000000000000001</v>
      </c>
      <c r="S30" s="231">
        <f t="shared" si="3"/>
        <v>1.4000000000000001</v>
      </c>
      <c r="T30" s="231">
        <f t="shared" si="4"/>
        <v>1.1200000000000001</v>
      </c>
      <c r="U30" s="231">
        <f t="shared" si="5"/>
        <v>1.5400000000000003</v>
      </c>
      <c r="V30" s="231">
        <f t="shared" si="6"/>
        <v>1.96</v>
      </c>
      <c r="W30" s="231">
        <f t="shared" si="7"/>
        <v>1.4000000000000001</v>
      </c>
      <c r="X30" s="231">
        <f t="shared" si="8"/>
        <v>0.70000000000000007</v>
      </c>
      <c r="Y30" s="232">
        <f t="shared" si="9"/>
        <v>1.4000000000000001</v>
      </c>
    </row>
    <row r="31" spans="2:25" ht="19.5" customHeight="1">
      <c r="B31" s="287" t="s">
        <v>44</v>
      </c>
      <c r="C31" s="208">
        <v>3</v>
      </c>
      <c r="D31" s="209">
        <v>2.8</v>
      </c>
      <c r="E31" s="209">
        <v>3</v>
      </c>
      <c r="F31" s="209">
        <v>2.8</v>
      </c>
      <c r="G31" s="209">
        <v>1</v>
      </c>
      <c r="H31" s="209">
        <v>2</v>
      </c>
      <c r="I31" s="209">
        <v>2.6</v>
      </c>
      <c r="J31" s="209">
        <v>2.6</v>
      </c>
      <c r="K31" s="209">
        <v>1</v>
      </c>
      <c r="L31" s="211">
        <v>2</v>
      </c>
      <c r="N31" s="298">
        <v>2.52</v>
      </c>
      <c r="O31" s="194" t="s">
        <v>44</v>
      </c>
      <c r="P31" s="230">
        <f t="shared" si="0"/>
        <v>2.52</v>
      </c>
      <c r="Q31" s="231">
        <f t="shared" si="1"/>
        <v>2.3519999999999999</v>
      </c>
      <c r="R31" s="231">
        <f t="shared" si="2"/>
        <v>2.52</v>
      </c>
      <c r="S31" s="231">
        <f t="shared" si="3"/>
        <v>2.3519999999999999</v>
      </c>
      <c r="T31" s="231">
        <f t="shared" si="4"/>
        <v>0.84</v>
      </c>
      <c r="U31" s="231">
        <f t="shared" si="5"/>
        <v>1.68</v>
      </c>
      <c r="V31" s="231">
        <f t="shared" si="6"/>
        <v>2.1840000000000002</v>
      </c>
      <c r="W31" s="231">
        <f t="shared" si="7"/>
        <v>2.1840000000000002</v>
      </c>
      <c r="X31" s="231">
        <f t="shared" si="8"/>
        <v>0.84</v>
      </c>
      <c r="Y31" s="232">
        <f t="shared" si="9"/>
        <v>1.68</v>
      </c>
    </row>
    <row r="32" spans="2:25" ht="19.5" customHeight="1">
      <c r="B32" s="287" t="s">
        <v>45</v>
      </c>
      <c r="C32" s="208">
        <v>2.5</v>
      </c>
      <c r="D32" s="209">
        <v>2.25</v>
      </c>
      <c r="E32" s="209">
        <v>2</v>
      </c>
      <c r="F32" s="218">
        <v>2.3333333333333335</v>
      </c>
      <c r="G32" s="209">
        <v>3</v>
      </c>
      <c r="H32" s="209">
        <v>2.25</v>
      </c>
      <c r="I32" s="209">
        <v>2.5</v>
      </c>
      <c r="J32" s="209">
        <v>2</v>
      </c>
      <c r="K32" s="209">
        <v>2</v>
      </c>
      <c r="L32" s="211">
        <v>2</v>
      </c>
      <c r="N32" s="298">
        <v>3</v>
      </c>
      <c r="O32" s="194" t="s">
        <v>45</v>
      </c>
      <c r="P32" s="230">
        <f t="shared" si="0"/>
        <v>2.5</v>
      </c>
      <c r="Q32" s="231">
        <f t="shared" si="1"/>
        <v>2.25</v>
      </c>
      <c r="R32" s="231">
        <f t="shared" si="2"/>
        <v>2</v>
      </c>
      <c r="S32" s="231">
        <f t="shared" si="3"/>
        <v>2.3333333333333335</v>
      </c>
      <c r="T32" s="231">
        <f t="shared" si="4"/>
        <v>3</v>
      </c>
      <c r="U32" s="231">
        <f t="shared" si="5"/>
        <v>2.25</v>
      </c>
      <c r="V32" s="231">
        <f t="shared" si="6"/>
        <v>2.5</v>
      </c>
      <c r="W32" s="231">
        <f t="shared" si="7"/>
        <v>2</v>
      </c>
      <c r="X32" s="231">
        <f t="shared" si="8"/>
        <v>2</v>
      </c>
      <c r="Y32" s="232">
        <f t="shared" si="9"/>
        <v>2</v>
      </c>
    </row>
    <row r="33" spans="2:25" ht="19.5" customHeight="1">
      <c r="B33" s="287" t="s">
        <v>46</v>
      </c>
      <c r="C33" s="208">
        <v>3</v>
      </c>
      <c r="D33" s="218">
        <v>2.3333333333333335</v>
      </c>
      <c r="E33" s="218">
        <v>2.2222222222222223</v>
      </c>
      <c r="F33" s="218">
        <v>2.375</v>
      </c>
      <c r="G33" s="209">
        <v>2</v>
      </c>
      <c r="H33" s="209">
        <v>3</v>
      </c>
      <c r="I33" s="218">
        <v>2.7142857142857144</v>
      </c>
      <c r="J33" s="218">
        <v>2.7142857142857144</v>
      </c>
      <c r="K33" s="209">
        <v>2.6</v>
      </c>
      <c r="L33" s="211">
        <v>2</v>
      </c>
      <c r="N33" s="298">
        <v>3</v>
      </c>
      <c r="O33" s="194" t="s">
        <v>46</v>
      </c>
      <c r="P33" s="230">
        <f t="shared" si="0"/>
        <v>3</v>
      </c>
      <c r="Q33" s="231">
        <f t="shared" si="1"/>
        <v>2.3333333333333335</v>
      </c>
      <c r="R33" s="231">
        <f t="shared" si="2"/>
        <v>2.2222222222222223</v>
      </c>
      <c r="S33" s="231">
        <f t="shared" si="3"/>
        <v>2.375</v>
      </c>
      <c r="T33" s="231">
        <f t="shared" si="4"/>
        <v>2</v>
      </c>
      <c r="U33" s="231">
        <f t="shared" si="5"/>
        <v>3</v>
      </c>
      <c r="V33" s="231">
        <f t="shared" si="6"/>
        <v>2.714285714285714</v>
      </c>
      <c r="W33" s="231">
        <f t="shared" si="7"/>
        <v>2.714285714285714</v>
      </c>
      <c r="X33" s="231">
        <f t="shared" si="8"/>
        <v>2.6</v>
      </c>
      <c r="Y33" s="232">
        <f t="shared" si="9"/>
        <v>2</v>
      </c>
    </row>
    <row r="34" spans="2:25" ht="19.5" customHeight="1">
      <c r="B34" s="287" t="s">
        <v>47</v>
      </c>
      <c r="C34" s="208">
        <v>1.4</v>
      </c>
      <c r="D34" s="209">
        <v>2</v>
      </c>
      <c r="E34" s="209">
        <v>2</v>
      </c>
      <c r="F34" s="209">
        <v>2</v>
      </c>
      <c r="G34" s="209">
        <v>3</v>
      </c>
      <c r="H34" s="209">
        <v>2.4</v>
      </c>
      <c r="I34" s="209">
        <v>2.4</v>
      </c>
      <c r="J34" s="209"/>
      <c r="K34" s="209"/>
      <c r="L34" s="211">
        <v>2</v>
      </c>
      <c r="N34" s="298">
        <v>3</v>
      </c>
      <c r="O34" s="194" t="s">
        <v>47</v>
      </c>
      <c r="P34" s="230">
        <f t="shared" si="0"/>
        <v>1.3999999999999997</v>
      </c>
      <c r="Q34" s="231">
        <f t="shared" si="1"/>
        <v>2</v>
      </c>
      <c r="R34" s="231">
        <f t="shared" si="2"/>
        <v>2</v>
      </c>
      <c r="S34" s="231">
        <f t="shared" si="3"/>
        <v>2</v>
      </c>
      <c r="T34" s="231">
        <f t="shared" si="4"/>
        <v>3</v>
      </c>
      <c r="U34" s="231">
        <f t="shared" si="5"/>
        <v>2.4</v>
      </c>
      <c r="V34" s="231">
        <f t="shared" si="6"/>
        <v>2.4</v>
      </c>
      <c r="W34" s="231">
        <f t="shared" si="7"/>
        <v>0</v>
      </c>
      <c r="X34" s="231">
        <f t="shared" si="8"/>
        <v>0</v>
      </c>
      <c r="Y34" s="232">
        <f t="shared" si="9"/>
        <v>2</v>
      </c>
    </row>
    <row r="35" spans="2:25" ht="19.5" customHeight="1">
      <c r="B35" s="287" t="s">
        <v>48</v>
      </c>
      <c r="C35" s="217">
        <v>2.6666666666666665</v>
      </c>
      <c r="D35" s="218">
        <v>1.6666666666666667</v>
      </c>
      <c r="E35" s="209">
        <v>1</v>
      </c>
      <c r="F35" s="209">
        <v>2</v>
      </c>
      <c r="G35" s="209">
        <v>2</v>
      </c>
      <c r="H35" s="209">
        <v>1.8333333333333333</v>
      </c>
      <c r="I35" s="209">
        <v>2.4</v>
      </c>
      <c r="J35" s="209">
        <v>2</v>
      </c>
      <c r="K35" s="209">
        <v>1</v>
      </c>
      <c r="L35" s="211">
        <v>2</v>
      </c>
      <c r="N35" s="298">
        <v>3</v>
      </c>
      <c r="O35" s="194" t="s">
        <v>48</v>
      </c>
      <c r="P35" s="230">
        <f t="shared" si="0"/>
        <v>2.6666666666666665</v>
      </c>
      <c r="Q35" s="231">
        <f t="shared" si="1"/>
        <v>1.6666666666666667</v>
      </c>
      <c r="R35" s="231">
        <f t="shared" si="2"/>
        <v>1</v>
      </c>
      <c r="S35" s="231">
        <f t="shared" si="3"/>
        <v>2</v>
      </c>
      <c r="T35" s="231">
        <f t="shared" si="4"/>
        <v>2</v>
      </c>
      <c r="U35" s="231">
        <f t="shared" si="5"/>
        <v>1.8333333333333333</v>
      </c>
      <c r="V35" s="231">
        <f t="shared" si="6"/>
        <v>2.4</v>
      </c>
      <c r="W35" s="231">
        <f t="shared" si="7"/>
        <v>2</v>
      </c>
      <c r="X35" s="231">
        <f t="shared" si="8"/>
        <v>1</v>
      </c>
      <c r="Y35" s="232">
        <f t="shared" si="9"/>
        <v>2</v>
      </c>
    </row>
    <row r="36" spans="2:25" ht="19.5" customHeight="1">
      <c r="B36" s="287" t="s">
        <v>49</v>
      </c>
      <c r="C36" s="208">
        <v>3</v>
      </c>
      <c r="D36" s="209">
        <v>3</v>
      </c>
      <c r="E36" s="209">
        <v>3</v>
      </c>
      <c r="F36" s="209">
        <v>2.6</v>
      </c>
      <c r="G36" s="209">
        <v>2</v>
      </c>
      <c r="H36" s="209">
        <v>2.2000000000000002</v>
      </c>
      <c r="I36" s="209">
        <v>2.6</v>
      </c>
      <c r="J36" s="209">
        <v>3</v>
      </c>
      <c r="K36" s="209">
        <v>1</v>
      </c>
      <c r="L36" s="211">
        <v>2</v>
      </c>
      <c r="N36" s="298">
        <v>3</v>
      </c>
      <c r="O36" s="194" t="s">
        <v>49</v>
      </c>
      <c r="P36" s="230">
        <f t="shared" si="0"/>
        <v>3</v>
      </c>
      <c r="Q36" s="231">
        <f t="shared" si="1"/>
        <v>3</v>
      </c>
      <c r="R36" s="231">
        <f t="shared" si="2"/>
        <v>3</v>
      </c>
      <c r="S36" s="231">
        <f t="shared" si="3"/>
        <v>2.6</v>
      </c>
      <c r="T36" s="231">
        <f t="shared" si="4"/>
        <v>2</v>
      </c>
      <c r="U36" s="231">
        <f t="shared" si="5"/>
        <v>2.2000000000000002</v>
      </c>
      <c r="V36" s="231">
        <f t="shared" si="6"/>
        <v>2.6</v>
      </c>
      <c r="W36" s="231">
        <f t="shared" si="7"/>
        <v>3</v>
      </c>
      <c r="X36" s="231">
        <f t="shared" si="8"/>
        <v>1</v>
      </c>
      <c r="Y36" s="232">
        <f t="shared" si="9"/>
        <v>2</v>
      </c>
    </row>
    <row r="37" spans="2:25" ht="19.5" customHeight="1" thickBot="1">
      <c r="B37" s="287" t="s">
        <v>50</v>
      </c>
      <c r="C37" s="288">
        <v>3</v>
      </c>
      <c r="D37" s="288">
        <v>2</v>
      </c>
      <c r="E37" s="288"/>
      <c r="F37" s="288">
        <v>2</v>
      </c>
      <c r="G37" s="288">
        <v>2.2000000000000002</v>
      </c>
      <c r="H37" s="288">
        <v>2</v>
      </c>
      <c r="I37" s="288">
        <v>2</v>
      </c>
      <c r="J37" s="288">
        <v>3</v>
      </c>
      <c r="K37" s="288">
        <v>1</v>
      </c>
      <c r="L37" s="289">
        <v>2</v>
      </c>
      <c r="N37" s="298">
        <v>2.65</v>
      </c>
      <c r="O37" s="194" t="s">
        <v>50</v>
      </c>
      <c r="P37" s="230">
        <f t="shared" si="0"/>
        <v>2.65</v>
      </c>
      <c r="Q37" s="231">
        <f t="shared" si="1"/>
        <v>1.7666666666666666</v>
      </c>
      <c r="R37" s="231">
        <f t="shared" si="2"/>
        <v>0</v>
      </c>
      <c r="S37" s="231">
        <f t="shared" si="3"/>
        <v>1.7666666666666666</v>
      </c>
      <c r="T37" s="231">
        <f t="shared" si="4"/>
        <v>1.9433333333333334</v>
      </c>
      <c r="U37" s="231">
        <f t="shared" si="5"/>
        <v>1.7666666666666666</v>
      </c>
      <c r="V37" s="231">
        <f t="shared" si="6"/>
        <v>1.7666666666666666</v>
      </c>
      <c r="W37" s="231">
        <f t="shared" si="7"/>
        <v>2.65</v>
      </c>
      <c r="X37" s="231">
        <f t="shared" si="8"/>
        <v>0.8833333333333333</v>
      </c>
      <c r="Y37" s="232">
        <f t="shared" si="9"/>
        <v>1.7666666666666666</v>
      </c>
    </row>
    <row r="38" spans="2:25" ht="19.5" customHeight="1">
      <c r="B38" s="287" t="s">
        <v>51</v>
      </c>
      <c r="C38" s="208">
        <v>3</v>
      </c>
      <c r="D38" s="209">
        <v>3</v>
      </c>
      <c r="E38" s="209">
        <v>3</v>
      </c>
      <c r="F38" s="209">
        <v>2.8</v>
      </c>
      <c r="G38" s="218">
        <v>1.3333333333333333</v>
      </c>
      <c r="H38" s="209">
        <v>1.4</v>
      </c>
      <c r="I38" s="209">
        <v>2.4</v>
      </c>
      <c r="J38" s="209">
        <v>2</v>
      </c>
      <c r="K38" s="209">
        <v>1</v>
      </c>
      <c r="L38" s="211">
        <v>2</v>
      </c>
      <c r="N38" s="298">
        <v>2.89</v>
      </c>
      <c r="O38" s="194" t="s">
        <v>51</v>
      </c>
      <c r="P38" s="230">
        <f t="shared" si="0"/>
        <v>2.89</v>
      </c>
      <c r="Q38" s="231">
        <f t="shared" si="1"/>
        <v>2.89</v>
      </c>
      <c r="R38" s="231">
        <f t="shared" si="2"/>
        <v>2.89</v>
      </c>
      <c r="S38" s="231">
        <f t="shared" si="3"/>
        <v>2.6973333333333334</v>
      </c>
      <c r="T38" s="231">
        <f t="shared" si="4"/>
        <v>1.2844444444444445</v>
      </c>
      <c r="U38" s="231">
        <f t="shared" si="5"/>
        <v>1.3486666666666667</v>
      </c>
      <c r="V38" s="231">
        <f t="shared" si="6"/>
        <v>2.3119999999999998</v>
      </c>
      <c r="W38" s="231">
        <f t="shared" si="7"/>
        <v>1.9266666666666667</v>
      </c>
      <c r="X38" s="231">
        <f t="shared" si="8"/>
        <v>0.96333333333333337</v>
      </c>
      <c r="Y38" s="232">
        <f t="shared" si="9"/>
        <v>1.9266666666666667</v>
      </c>
    </row>
    <row r="39" spans="2:25" ht="19.5" customHeight="1">
      <c r="B39" s="287" t="s">
        <v>52</v>
      </c>
      <c r="C39" s="208">
        <v>2.8</v>
      </c>
      <c r="D39" s="209">
        <v>2.4</v>
      </c>
      <c r="E39" s="218">
        <v>1.3333333333333333</v>
      </c>
      <c r="F39" s="209">
        <v>2</v>
      </c>
      <c r="G39" s="209">
        <v>2.75</v>
      </c>
      <c r="H39" s="209">
        <v>2</v>
      </c>
      <c r="I39" s="209">
        <v>2.2000000000000002</v>
      </c>
      <c r="J39" s="209">
        <v>2</v>
      </c>
      <c r="K39" s="209"/>
      <c r="L39" s="211">
        <v>2</v>
      </c>
      <c r="N39" s="298">
        <v>3</v>
      </c>
      <c r="O39" s="194" t="s">
        <v>52</v>
      </c>
      <c r="P39" s="230">
        <f t="shared" si="0"/>
        <v>2.7999999999999994</v>
      </c>
      <c r="Q39" s="231">
        <f t="shared" si="1"/>
        <v>2.4</v>
      </c>
      <c r="R39" s="231">
        <f t="shared" si="2"/>
        <v>1.3333333333333333</v>
      </c>
      <c r="S39" s="231">
        <f t="shared" si="3"/>
        <v>2</v>
      </c>
      <c r="T39" s="231">
        <f t="shared" si="4"/>
        <v>2.75</v>
      </c>
      <c r="U39" s="231">
        <f t="shared" si="5"/>
        <v>2</v>
      </c>
      <c r="V39" s="231">
        <f t="shared" si="6"/>
        <v>2.2000000000000002</v>
      </c>
      <c r="W39" s="231">
        <f t="shared" si="7"/>
        <v>2</v>
      </c>
      <c r="X39" s="231">
        <f t="shared" si="8"/>
        <v>0</v>
      </c>
      <c r="Y39" s="232">
        <f t="shared" si="9"/>
        <v>2</v>
      </c>
    </row>
    <row r="40" spans="2:25" ht="19.5" customHeight="1" thickBot="1">
      <c r="B40" s="290" t="s">
        <v>53</v>
      </c>
      <c r="C40" s="291">
        <v>2.2000000000000002</v>
      </c>
      <c r="D40" s="292">
        <v>2.4</v>
      </c>
      <c r="E40" s="292">
        <v>2.1428571428571428</v>
      </c>
      <c r="F40" s="293">
        <v>2.8</v>
      </c>
      <c r="G40" s="292">
        <v>2.4285714285714284</v>
      </c>
      <c r="H40" s="292">
        <v>2.1428571428571428</v>
      </c>
      <c r="I40" s="294">
        <v>2.875</v>
      </c>
      <c r="J40" s="292">
        <v>2.125</v>
      </c>
      <c r="K40" s="293">
        <v>2</v>
      </c>
      <c r="L40" s="295">
        <v>1</v>
      </c>
      <c r="N40" s="300">
        <v>3</v>
      </c>
      <c r="O40" s="301" t="s">
        <v>53</v>
      </c>
      <c r="P40" s="233">
        <f t="shared" si="0"/>
        <v>2.2000000000000002</v>
      </c>
      <c r="Q40" s="234">
        <f t="shared" si="1"/>
        <v>2.4</v>
      </c>
      <c r="R40" s="234">
        <f t="shared" si="2"/>
        <v>2.1428571428571428</v>
      </c>
      <c r="S40" s="234">
        <f t="shared" si="3"/>
        <v>2.7999999999999994</v>
      </c>
      <c r="T40" s="234">
        <f t="shared" si="4"/>
        <v>2.4285714285714284</v>
      </c>
      <c r="U40" s="234">
        <f t="shared" si="5"/>
        <v>2.1428571428571428</v>
      </c>
      <c r="V40" s="234">
        <f t="shared" si="6"/>
        <v>2.875</v>
      </c>
      <c r="W40" s="234">
        <f t="shared" si="7"/>
        <v>2.125</v>
      </c>
      <c r="X40" s="234">
        <f t="shared" si="8"/>
        <v>2</v>
      </c>
      <c r="Y40" s="235">
        <f t="shared" si="9"/>
        <v>1</v>
      </c>
    </row>
    <row r="41" spans="2:25" ht="26.25" thickBot="1">
      <c r="B41" s="296" t="s">
        <v>67</v>
      </c>
      <c r="C41" s="297">
        <f>AVERAGE(C4:C40)</f>
        <v>2.7783783783783784</v>
      </c>
      <c r="D41" s="297">
        <f t="shared" ref="D41:L41" si="10">AVERAGE(D4:D40)</f>
        <v>2.2184684684684681</v>
      </c>
      <c r="E41" s="297">
        <f t="shared" si="10"/>
        <v>2.1602474323062557</v>
      </c>
      <c r="F41" s="297">
        <f t="shared" si="10"/>
        <v>2.2683333333333331</v>
      </c>
      <c r="G41" s="297">
        <f t="shared" si="10"/>
        <v>1.8278011204481797</v>
      </c>
      <c r="H41" s="297">
        <f t="shared" si="10"/>
        <v>1.8871572871572873</v>
      </c>
      <c r="I41" s="297">
        <f t="shared" si="10"/>
        <v>2.4654761904761906</v>
      </c>
      <c r="J41" s="297">
        <f t="shared" si="10"/>
        <v>2.2653318903318902</v>
      </c>
      <c r="K41" s="297">
        <f t="shared" si="10"/>
        <v>1.3786458333333333</v>
      </c>
      <c r="L41" s="297">
        <f t="shared" si="10"/>
        <v>1.963235294117647</v>
      </c>
      <c r="N41" s="368" t="s">
        <v>15</v>
      </c>
      <c r="O41" s="369"/>
      <c r="P41" s="259">
        <f>AVERAGE(P4:P40)</f>
        <v>2.4595495495495494</v>
      </c>
      <c r="Q41" s="259">
        <f t="shared" ref="Q41:Y41" si="11">AVERAGE(Q4:Q40)</f>
        <v>1.9802672672672672</v>
      </c>
      <c r="R41" s="259">
        <f t="shared" si="11"/>
        <v>1.7751868296868298</v>
      </c>
      <c r="S41" s="259">
        <f t="shared" si="11"/>
        <v>1.908779279279279</v>
      </c>
      <c r="T41" s="259">
        <f t="shared" si="11"/>
        <v>1.4986070356070358</v>
      </c>
      <c r="U41" s="259">
        <f t="shared" si="11"/>
        <v>1.5110847275847277</v>
      </c>
      <c r="V41" s="259">
        <f t="shared" si="11"/>
        <v>2.1916984126984129</v>
      </c>
      <c r="W41" s="259">
        <f t="shared" si="11"/>
        <v>1.8032539682539681</v>
      </c>
      <c r="X41" s="259">
        <f t="shared" si="11"/>
        <v>1.0337747747747748</v>
      </c>
      <c r="Y41" s="259">
        <f t="shared" si="11"/>
        <v>1.6017252252252252</v>
      </c>
    </row>
    <row r="42" spans="2:25" ht="25.5">
      <c r="B42" s="359" t="s">
        <v>155</v>
      </c>
      <c r="C42" s="360"/>
      <c r="D42" s="360"/>
      <c r="E42" s="360"/>
      <c r="F42" s="360"/>
      <c r="G42" s="360"/>
      <c r="H42" s="360"/>
      <c r="I42" s="360"/>
      <c r="J42" s="360"/>
      <c r="K42" s="360"/>
      <c r="L42" s="361"/>
      <c r="N42" s="370" t="s">
        <v>16</v>
      </c>
      <c r="O42" s="371"/>
      <c r="P42" s="277">
        <v>2.4595495495495494</v>
      </c>
      <c r="Q42" s="257">
        <v>1.9802672672672672</v>
      </c>
      <c r="R42" s="257">
        <v>1.7751868296868298</v>
      </c>
      <c r="S42" s="257">
        <v>1.908779279279279</v>
      </c>
      <c r="T42" s="257">
        <v>1.4986070356070358</v>
      </c>
      <c r="U42" s="257">
        <v>1.5110847275847277</v>
      </c>
      <c r="V42" s="257">
        <v>2.2025092235092232</v>
      </c>
      <c r="W42" s="257">
        <v>1.8032539682539681</v>
      </c>
      <c r="X42" s="257">
        <v>1.0337747747747748</v>
      </c>
      <c r="Y42" s="258">
        <v>1.6017252252252252</v>
      </c>
    </row>
    <row r="43" spans="2:25" ht="25.5">
      <c r="B43" s="362"/>
      <c r="C43" s="363"/>
      <c r="D43" s="363"/>
      <c r="E43" s="363"/>
      <c r="F43" s="363"/>
      <c r="G43" s="363"/>
      <c r="H43" s="363"/>
      <c r="I43" s="363"/>
      <c r="J43" s="363"/>
      <c r="K43" s="363"/>
      <c r="L43" s="364"/>
      <c r="N43" s="370" t="s">
        <v>17</v>
      </c>
      <c r="O43" s="371"/>
      <c r="P43" s="262">
        <f>P41*80%</f>
        <v>1.9676396396396396</v>
      </c>
      <c r="Q43" s="262">
        <f t="shared" ref="Q43:Y43" si="12">Q41*80%</f>
        <v>1.5842138138138138</v>
      </c>
      <c r="R43" s="262">
        <f t="shared" si="12"/>
        <v>1.420149463749464</v>
      </c>
      <c r="S43" s="262">
        <f t="shared" si="12"/>
        <v>1.5270234234234232</v>
      </c>
      <c r="T43" s="262">
        <f t="shared" si="12"/>
        <v>1.1988856284856286</v>
      </c>
      <c r="U43" s="262">
        <f t="shared" si="12"/>
        <v>1.2088677820677822</v>
      </c>
      <c r="V43" s="262">
        <f t="shared" si="12"/>
        <v>1.7533587301587303</v>
      </c>
      <c r="W43" s="262">
        <f t="shared" si="12"/>
        <v>1.4426031746031747</v>
      </c>
      <c r="X43" s="262">
        <f t="shared" si="12"/>
        <v>0.82701981981981987</v>
      </c>
      <c r="Y43" s="262">
        <f t="shared" si="12"/>
        <v>1.2813801801801803</v>
      </c>
    </row>
    <row r="44" spans="2:25" ht="25.5">
      <c r="B44" s="362"/>
      <c r="C44" s="363"/>
      <c r="D44" s="363"/>
      <c r="E44" s="363"/>
      <c r="F44" s="363"/>
      <c r="G44" s="363"/>
      <c r="H44" s="363"/>
      <c r="I44" s="363"/>
      <c r="J44" s="363"/>
      <c r="K44" s="363"/>
      <c r="L44" s="364"/>
      <c r="N44" s="370"/>
      <c r="O44" s="371"/>
      <c r="P44" s="278"/>
      <c r="Q44" s="279"/>
      <c r="R44" s="279"/>
      <c r="S44" s="279"/>
      <c r="T44" s="279"/>
      <c r="U44" s="279"/>
      <c r="V44" s="279"/>
      <c r="W44" s="279"/>
      <c r="X44" s="279"/>
      <c r="Y44" s="280"/>
    </row>
    <row r="45" spans="2:25" ht="25.5">
      <c r="B45" s="362"/>
      <c r="C45" s="363"/>
      <c r="D45" s="363"/>
      <c r="E45" s="363"/>
      <c r="F45" s="363"/>
      <c r="G45" s="363"/>
      <c r="H45" s="363"/>
      <c r="I45" s="363"/>
      <c r="J45" s="363"/>
      <c r="K45" s="363"/>
      <c r="L45" s="364"/>
      <c r="N45" s="370" t="s">
        <v>18</v>
      </c>
      <c r="O45" s="371"/>
      <c r="P45" s="262">
        <v>3</v>
      </c>
      <c r="Q45" s="262">
        <v>3</v>
      </c>
      <c r="R45" s="262">
        <v>3</v>
      </c>
      <c r="S45" s="262">
        <v>3</v>
      </c>
      <c r="T45" s="262">
        <v>3</v>
      </c>
      <c r="U45" s="262">
        <v>3</v>
      </c>
      <c r="V45" s="262">
        <v>3</v>
      </c>
      <c r="W45" s="262">
        <v>3</v>
      </c>
      <c r="X45" s="262">
        <v>3</v>
      </c>
      <c r="Y45" s="262">
        <v>3</v>
      </c>
    </row>
    <row r="46" spans="2:25" ht="25.5">
      <c r="B46" s="362"/>
      <c r="C46" s="363"/>
      <c r="D46" s="363"/>
      <c r="E46" s="363"/>
      <c r="F46" s="363"/>
      <c r="G46" s="363"/>
      <c r="H46" s="363"/>
      <c r="I46" s="363"/>
      <c r="J46" s="363"/>
      <c r="K46" s="363"/>
      <c r="L46" s="364"/>
      <c r="N46" s="370"/>
      <c r="O46" s="371"/>
      <c r="P46" s="262"/>
      <c r="Q46" s="262"/>
      <c r="R46" s="262"/>
      <c r="S46" s="262"/>
      <c r="T46" s="262"/>
      <c r="U46" s="262"/>
      <c r="V46" s="262"/>
      <c r="W46" s="262"/>
      <c r="X46" s="262"/>
      <c r="Y46" s="262"/>
    </row>
    <row r="47" spans="2:25" ht="25.5">
      <c r="B47" s="362"/>
      <c r="C47" s="363"/>
      <c r="D47" s="363"/>
      <c r="E47" s="363"/>
      <c r="F47" s="363"/>
      <c r="G47" s="363"/>
      <c r="H47" s="363"/>
      <c r="I47" s="363"/>
      <c r="J47" s="363"/>
      <c r="K47" s="363"/>
      <c r="L47" s="364"/>
      <c r="N47" s="370" t="s">
        <v>19</v>
      </c>
      <c r="O47" s="371"/>
      <c r="P47" s="262">
        <f>P45*20%</f>
        <v>0.60000000000000009</v>
      </c>
      <c r="Q47" s="262">
        <f t="shared" ref="Q47:Y47" si="13">Q45*20%</f>
        <v>0.60000000000000009</v>
      </c>
      <c r="R47" s="262">
        <f t="shared" si="13"/>
        <v>0.60000000000000009</v>
      </c>
      <c r="S47" s="262">
        <f t="shared" si="13"/>
        <v>0.60000000000000009</v>
      </c>
      <c r="T47" s="262">
        <f t="shared" si="13"/>
        <v>0.60000000000000009</v>
      </c>
      <c r="U47" s="262">
        <f t="shared" si="13"/>
        <v>0.60000000000000009</v>
      </c>
      <c r="V47" s="262">
        <f t="shared" si="13"/>
        <v>0.60000000000000009</v>
      </c>
      <c r="W47" s="262">
        <f t="shared" si="13"/>
        <v>0.60000000000000009</v>
      </c>
      <c r="X47" s="262">
        <f t="shared" si="13"/>
        <v>0.60000000000000009</v>
      </c>
      <c r="Y47" s="262">
        <f t="shared" si="13"/>
        <v>0.60000000000000009</v>
      </c>
    </row>
    <row r="48" spans="2:25" ht="25.5">
      <c r="B48" s="362"/>
      <c r="C48" s="363"/>
      <c r="D48" s="363"/>
      <c r="E48" s="363"/>
      <c r="F48" s="363"/>
      <c r="G48" s="363"/>
      <c r="H48" s="363"/>
      <c r="I48" s="363"/>
      <c r="J48" s="363"/>
      <c r="K48" s="363"/>
      <c r="L48" s="364"/>
      <c r="N48" s="370"/>
      <c r="O48" s="371"/>
      <c r="P48" s="262"/>
      <c r="Q48" s="262"/>
      <c r="R48" s="262"/>
      <c r="S48" s="262"/>
      <c r="T48" s="262"/>
      <c r="U48" s="262"/>
      <c r="V48" s="262"/>
      <c r="W48" s="262"/>
      <c r="X48" s="262"/>
      <c r="Y48" s="262"/>
    </row>
    <row r="49" spans="2:25" ht="26.25" thickBot="1">
      <c r="B49" s="365"/>
      <c r="C49" s="366"/>
      <c r="D49" s="366"/>
      <c r="E49" s="366"/>
      <c r="F49" s="366"/>
      <c r="G49" s="366"/>
      <c r="H49" s="366"/>
      <c r="I49" s="366"/>
      <c r="J49" s="366"/>
      <c r="K49" s="366"/>
      <c r="L49" s="367"/>
      <c r="N49" s="372" t="s">
        <v>20</v>
      </c>
      <c r="O49" s="373"/>
      <c r="P49" s="262">
        <f>SUM(P43+P47)</f>
        <v>2.5676396396396397</v>
      </c>
      <c r="Q49" s="262">
        <f t="shared" ref="Q49:Y49" si="14">SUM(Q43+Q47)</f>
        <v>2.1842138138138139</v>
      </c>
      <c r="R49" s="262">
        <f t="shared" si="14"/>
        <v>2.0201494637494641</v>
      </c>
      <c r="S49" s="262">
        <f t="shared" si="14"/>
        <v>2.1270234234234233</v>
      </c>
      <c r="T49" s="262">
        <f t="shared" si="14"/>
        <v>1.7988856284856287</v>
      </c>
      <c r="U49" s="262">
        <f t="shared" si="14"/>
        <v>1.8088677820677823</v>
      </c>
      <c r="V49" s="262">
        <f t="shared" si="14"/>
        <v>2.3533587301587304</v>
      </c>
      <c r="W49" s="262">
        <f t="shared" si="14"/>
        <v>2.0426031746031748</v>
      </c>
      <c r="X49" s="262">
        <f t="shared" si="14"/>
        <v>1.4270198198198201</v>
      </c>
      <c r="Y49" s="262">
        <f t="shared" si="14"/>
        <v>1.8813801801801804</v>
      </c>
    </row>
  </sheetData>
  <mergeCells count="13">
    <mergeCell ref="B1:L2"/>
    <mergeCell ref="N1:Y1"/>
    <mergeCell ref="N2:Y2"/>
    <mergeCell ref="B42:L49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</mergeCells>
  <pageMargins left="0.51181102362204722" right="0.51181102362204722" top="0.38" bottom="0.21" header="0.31496062992125984" footer="0.31496062992125984"/>
  <pageSetup paperSize="9" scale="45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49"/>
  <sheetViews>
    <sheetView zoomScale="55" zoomScaleNormal="55" workbookViewId="0">
      <selection activeCell="P49" sqref="P49"/>
    </sheetView>
  </sheetViews>
  <sheetFormatPr defaultRowHeight="20.25"/>
  <cols>
    <col min="1" max="1" width="9.140625" style="4"/>
    <col min="2" max="2" width="32.28515625" style="198" customWidth="1"/>
    <col min="3" max="7" width="9.28515625" style="4" bestFit="1" customWidth="1"/>
    <col min="8" max="8" width="13.42578125" style="4" customWidth="1"/>
    <col min="9" max="9" width="9.28515625" style="4" bestFit="1" customWidth="1"/>
    <col min="10" max="12" width="11.85546875" style="4" bestFit="1" customWidth="1"/>
    <col min="13" max="13" width="2" style="4" customWidth="1"/>
    <col min="14" max="14" width="22.140625" style="8" customWidth="1"/>
    <col min="15" max="15" width="29.85546875" style="7" customWidth="1"/>
    <col min="16" max="25" width="13.140625" style="4" customWidth="1"/>
    <col min="26" max="16384" width="9.140625" style="4"/>
  </cols>
  <sheetData>
    <row r="1" spans="2:25" s="5" customFormat="1" ht="30.75" customHeight="1">
      <c r="B1" s="374" t="s">
        <v>152</v>
      </c>
      <c r="C1" s="375"/>
      <c r="D1" s="375"/>
      <c r="E1" s="375"/>
      <c r="F1" s="375"/>
      <c r="G1" s="375"/>
      <c r="H1" s="375"/>
      <c r="I1" s="375"/>
      <c r="J1" s="375"/>
      <c r="K1" s="375"/>
      <c r="L1" s="376"/>
      <c r="M1" s="187"/>
      <c r="N1" s="380" t="s">
        <v>153</v>
      </c>
      <c r="O1" s="380"/>
      <c r="P1" s="380"/>
      <c r="Q1" s="380"/>
      <c r="R1" s="380"/>
      <c r="S1" s="380"/>
      <c r="T1" s="380"/>
      <c r="U1" s="380"/>
      <c r="V1" s="380"/>
      <c r="W1" s="380"/>
      <c r="X1" s="380"/>
      <c r="Y1" s="380"/>
    </row>
    <row r="2" spans="2:25" s="5" customFormat="1" ht="30.75" customHeight="1" thickBot="1">
      <c r="B2" s="377"/>
      <c r="C2" s="378"/>
      <c r="D2" s="378"/>
      <c r="E2" s="378"/>
      <c r="F2" s="378"/>
      <c r="G2" s="378"/>
      <c r="H2" s="378"/>
      <c r="I2" s="378"/>
      <c r="J2" s="378"/>
      <c r="K2" s="378"/>
      <c r="L2" s="379"/>
      <c r="M2" s="188"/>
      <c r="N2" s="381" t="s">
        <v>154</v>
      </c>
      <c r="O2" s="382"/>
      <c r="P2" s="382"/>
      <c r="Q2" s="382"/>
      <c r="R2" s="382"/>
      <c r="S2" s="382"/>
      <c r="T2" s="382"/>
      <c r="U2" s="382"/>
      <c r="V2" s="382"/>
      <c r="W2" s="382"/>
      <c r="X2" s="382"/>
      <c r="Y2" s="383"/>
    </row>
    <row r="3" spans="2:25" s="251" customFormat="1" ht="44.25" customHeight="1" thickBot="1">
      <c r="B3" s="252" t="s">
        <v>151</v>
      </c>
      <c r="C3" s="252" t="s">
        <v>0</v>
      </c>
      <c r="D3" s="252" t="s">
        <v>1</v>
      </c>
      <c r="E3" s="252" t="s">
        <v>2</v>
      </c>
      <c r="F3" s="252" t="s">
        <v>3</v>
      </c>
      <c r="G3" s="252" t="s">
        <v>4</v>
      </c>
      <c r="H3" s="252" t="s">
        <v>5</v>
      </c>
      <c r="I3" s="252" t="s">
        <v>6</v>
      </c>
      <c r="J3" s="252" t="s">
        <v>7</v>
      </c>
      <c r="K3" s="252" t="s">
        <v>8</v>
      </c>
      <c r="L3" s="252" t="s">
        <v>9</v>
      </c>
      <c r="M3" s="252"/>
      <c r="N3" s="252" t="s">
        <v>10</v>
      </c>
      <c r="O3" s="252" t="s">
        <v>151</v>
      </c>
      <c r="P3" s="252" t="s">
        <v>0</v>
      </c>
      <c r="Q3" s="252" t="s">
        <v>1</v>
      </c>
      <c r="R3" s="252" t="s">
        <v>2</v>
      </c>
      <c r="S3" s="252" t="s">
        <v>3</v>
      </c>
      <c r="T3" s="252" t="s">
        <v>4</v>
      </c>
      <c r="U3" s="252" t="s">
        <v>5</v>
      </c>
      <c r="V3" s="252" t="s">
        <v>6</v>
      </c>
      <c r="W3" s="252" t="s">
        <v>7</v>
      </c>
      <c r="X3" s="252" t="s">
        <v>8</v>
      </c>
      <c r="Y3" s="252" t="s">
        <v>9</v>
      </c>
    </row>
    <row r="4" spans="2:25" ht="29.25" customHeight="1">
      <c r="B4" s="199" t="s">
        <v>11</v>
      </c>
      <c r="C4" s="200">
        <v>3</v>
      </c>
      <c r="D4" s="201">
        <v>2</v>
      </c>
      <c r="E4" s="201"/>
      <c r="F4" s="201"/>
      <c r="G4" s="201"/>
      <c r="H4" s="201"/>
      <c r="I4" s="202">
        <v>2.4</v>
      </c>
      <c r="J4" s="201">
        <v>2</v>
      </c>
      <c r="K4" s="201">
        <v>1</v>
      </c>
      <c r="L4" s="203">
        <v>2</v>
      </c>
      <c r="M4" s="189"/>
      <c r="N4" s="302">
        <v>2.5099999999999998</v>
      </c>
      <c r="O4" s="195" t="s">
        <v>11</v>
      </c>
      <c r="P4" s="237">
        <f t="shared" ref="P4:P40" si="0">(C4*N4)/3</f>
        <v>2.5099999999999998</v>
      </c>
      <c r="Q4" s="238">
        <f t="shared" ref="Q4:Q40" si="1">(D4*N4)/3</f>
        <v>1.6733333333333331</v>
      </c>
      <c r="R4" s="238">
        <f t="shared" ref="R4:R40" si="2">(E4*N4)/3</f>
        <v>0</v>
      </c>
      <c r="S4" s="238">
        <f t="shared" ref="S4:S40" si="3">(F4*N4)/3</f>
        <v>0</v>
      </c>
      <c r="T4" s="238">
        <f t="shared" ref="T4:T40" si="4">(G4*N4)/3</f>
        <v>0</v>
      </c>
      <c r="U4" s="238">
        <f t="shared" ref="U4:U40" si="5">(H4*N4)/3</f>
        <v>0</v>
      </c>
      <c r="V4" s="238">
        <f t="shared" ref="V4:V40" si="6">(I4*N4)/3</f>
        <v>2.0079999999999996</v>
      </c>
      <c r="W4" s="238">
        <f t="shared" ref="W4:W40" si="7">(J4*N4)/3</f>
        <v>1.6733333333333331</v>
      </c>
      <c r="X4" s="238">
        <f t="shared" ref="X4:X40" si="8">(K4*N4)/3</f>
        <v>0.83666666666666656</v>
      </c>
      <c r="Y4" s="239">
        <f t="shared" ref="Y4:Y40" si="9">(L4*N4)/3</f>
        <v>1.6733333333333331</v>
      </c>
    </row>
    <row r="5" spans="2:25" ht="29.25" customHeight="1">
      <c r="B5" s="204" t="s">
        <v>12</v>
      </c>
      <c r="C5" s="205">
        <v>2.8333333333333335</v>
      </c>
      <c r="D5" s="206">
        <v>2</v>
      </c>
      <c r="E5" s="206">
        <v>2.5</v>
      </c>
      <c r="F5" s="206"/>
      <c r="G5" s="206"/>
      <c r="H5" s="206"/>
      <c r="I5" s="206">
        <v>2</v>
      </c>
      <c r="J5" s="206"/>
      <c r="K5" s="206"/>
      <c r="L5" s="207"/>
      <c r="M5" s="189"/>
      <c r="N5" s="303">
        <v>2.5499999999999998</v>
      </c>
      <c r="O5" s="196" t="s">
        <v>12</v>
      </c>
      <c r="P5" s="241">
        <f t="shared" si="0"/>
        <v>2.4083333333333332</v>
      </c>
      <c r="Q5" s="242">
        <f t="shared" si="1"/>
        <v>1.7</v>
      </c>
      <c r="R5" s="242">
        <f t="shared" si="2"/>
        <v>2.125</v>
      </c>
      <c r="S5" s="242">
        <f t="shared" si="3"/>
        <v>0</v>
      </c>
      <c r="T5" s="242">
        <f t="shared" si="4"/>
        <v>0</v>
      </c>
      <c r="U5" s="242">
        <f t="shared" si="5"/>
        <v>0</v>
      </c>
      <c r="V5" s="242">
        <f t="shared" si="6"/>
        <v>1.7</v>
      </c>
      <c r="W5" s="242">
        <f t="shared" si="7"/>
        <v>0</v>
      </c>
      <c r="X5" s="242">
        <f t="shared" si="8"/>
        <v>0</v>
      </c>
      <c r="Y5" s="243">
        <f t="shared" si="9"/>
        <v>0</v>
      </c>
    </row>
    <row r="6" spans="2:25" ht="29.25" customHeight="1">
      <c r="B6" s="204" t="s">
        <v>13</v>
      </c>
      <c r="C6" s="208">
        <v>3</v>
      </c>
      <c r="D6" s="209">
        <v>2</v>
      </c>
      <c r="E6" s="209">
        <v>1.5</v>
      </c>
      <c r="F6" s="209">
        <v>2</v>
      </c>
      <c r="G6" s="210">
        <v>1.6666666666666667</v>
      </c>
      <c r="H6" s="209">
        <v>1</v>
      </c>
      <c r="I6" s="210">
        <v>2.3333333333333335</v>
      </c>
      <c r="J6" s="209">
        <v>2.4</v>
      </c>
      <c r="K6" s="209">
        <v>2</v>
      </c>
      <c r="L6" s="211">
        <v>2</v>
      </c>
      <c r="M6" s="189"/>
      <c r="N6" s="303">
        <v>2.25</v>
      </c>
      <c r="O6" s="196" t="s">
        <v>13</v>
      </c>
      <c r="P6" s="241">
        <f t="shared" si="0"/>
        <v>2.25</v>
      </c>
      <c r="Q6" s="242">
        <f t="shared" si="1"/>
        <v>1.5</v>
      </c>
      <c r="R6" s="242">
        <f t="shared" si="2"/>
        <v>1.125</v>
      </c>
      <c r="S6" s="242">
        <f t="shared" si="3"/>
        <v>1.5</v>
      </c>
      <c r="T6" s="242">
        <f t="shared" si="4"/>
        <v>1.25</v>
      </c>
      <c r="U6" s="242">
        <f t="shared" si="5"/>
        <v>0.75</v>
      </c>
      <c r="V6" s="242">
        <f t="shared" si="6"/>
        <v>1.75</v>
      </c>
      <c r="W6" s="242">
        <f t="shared" si="7"/>
        <v>1.7999999999999998</v>
      </c>
      <c r="X6" s="242">
        <f t="shared" si="8"/>
        <v>1.5</v>
      </c>
      <c r="Y6" s="243">
        <f t="shared" si="9"/>
        <v>1.5</v>
      </c>
    </row>
    <row r="7" spans="2:25" ht="29.25" customHeight="1">
      <c r="B7" s="204" t="s">
        <v>14</v>
      </c>
      <c r="C7" s="208">
        <v>3</v>
      </c>
      <c r="D7" s="209">
        <v>2</v>
      </c>
      <c r="E7" s="209">
        <v>2</v>
      </c>
      <c r="F7" s="209">
        <v>2.5</v>
      </c>
      <c r="G7" s="209">
        <v>1.5</v>
      </c>
      <c r="H7" s="209">
        <v>1</v>
      </c>
      <c r="I7" s="209">
        <v>3</v>
      </c>
      <c r="J7" s="209">
        <v>2</v>
      </c>
      <c r="K7" s="209">
        <v>1</v>
      </c>
      <c r="L7" s="211">
        <v>2</v>
      </c>
      <c r="M7" s="189"/>
      <c r="N7" s="303">
        <v>3</v>
      </c>
      <c r="O7" s="196" t="s">
        <v>14</v>
      </c>
      <c r="P7" s="241">
        <f t="shared" si="0"/>
        <v>3</v>
      </c>
      <c r="Q7" s="242">
        <f t="shared" si="1"/>
        <v>2</v>
      </c>
      <c r="R7" s="242">
        <f t="shared" si="2"/>
        <v>2</v>
      </c>
      <c r="S7" s="242">
        <f t="shared" si="3"/>
        <v>2.5</v>
      </c>
      <c r="T7" s="242">
        <f t="shared" si="4"/>
        <v>1.5</v>
      </c>
      <c r="U7" s="242">
        <f t="shared" si="5"/>
        <v>1</v>
      </c>
      <c r="V7" s="242">
        <f t="shared" si="6"/>
        <v>3</v>
      </c>
      <c r="W7" s="242">
        <f t="shared" si="7"/>
        <v>2</v>
      </c>
      <c r="X7" s="242">
        <f t="shared" si="8"/>
        <v>1</v>
      </c>
      <c r="Y7" s="243">
        <f t="shared" si="9"/>
        <v>2</v>
      </c>
    </row>
    <row r="8" spans="2:25" ht="29.25" customHeight="1">
      <c r="B8" s="204" t="s">
        <v>54</v>
      </c>
      <c r="C8" s="212">
        <v>2.6666666666666665</v>
      </c>
      <c r="D8" s="210">
        <v>1.6666666666666667</v>
      </c>
      <c r="E8" s="209">
        <v>1</v>
      </c>
      <c r="F8" s="209">
        <v>2</v>
      </c>
      <c r="G8" s="209">
        <v>2.25</v>
      </c>
      <c r="H8" s="209">
        <v>2.2000000000000002</v>
      </c>
      <c r="I8" s="209">
        <v>2.5</v>
      </c>
      <c r="J8" s="209">
        <v>2</v>
      </c>
      <c r="K8" s="209">
        <v>1</v>
      </c>
      <c r="L8" s="211">
        <v>2</v>
      </c>
      <c r="M8" s="189"/>
      <c r="N8" s="303">
        <v>2.58</v>
      </c>
      <c r="O8" s="196" t="s">
        <v>54</v>
      </c>
      <c r="P8" s="241">
        <f t="shared" si="0"/>
        <v>2.2933333333333334</v>
      </c>
      <c r="Q8" s="242">
        <f t="shared" si="1"/>
        <v>1.4333333333333336</v>
      </c>
      <c r="R8" s="242">
        <f t="shared" si="2"/>
        <v>0.86</v>
      </c>
      <c r="S8" s="242">
        <f t="shared" si="3"/>
        <v>1.72</v>
      </c>
      <c r="T8" s="242">
        <f t="shared" si="4"/>
        <v>1.9349999999999998</v>
      </c>
      <c r="U8" s="242">
        <f t="shared" si="5"/>
        <v>1.8920000000000003</v>
      </c>
      <c r="V8" s="242">
        <f t="shared" si="6"/>
        <v>2.15</v>
      </c>
      <c r="W8" s="242">
        <f t="shared" si="7"/>
        <v>1.72</v>
      </c>
      <c r="X8" s="242">
        <f t="shared" si="8"/>
        <v>0.86</v>
      </c>
      <c r="Y8" s="243">
        <f t="shared" si="9"/>
        <v>1.72</v>
      </c>
    </row>
    <row r="9" spans="2:25" ht="29.25" customHeight="1">
      <c r="B9" s="204" t="s">
        <v>22</v>
      </c>
      <c r="C9" s="208">
        <v>2.4</v>
      </c>
      <c r="D9" s="209">
        <v>2</v>
      </c>
      <c r="E9" s="209">
        <v>2</v>
      </c>
      <c r="F9" s="209">
        <v>2.2000000000000002</v>
      </c>
      <c r="G9" s="209">
        <v>1.6</v>
      </c>
      <c r="H9" s="209">
        <v>1</v>
      </c>
      <c r="I9" s="209">
        <v>3</v>
      </c>
      <c r="J9" s="209">
        <v>2</v>
      </c>
      <c r="K9" s="209">
        <v>1</v>
      </c>
      <c r="L9" s="211">
        <v>2</v>
      </c>
      <c r="M9" s="189"/>
      <c r="N9" s="303">
        <v>2.88</v>
      </c>
      <c r="O9" s="196" t="s">
        <v>22</v>
      </c>
      <c r="P9" s="241">
        <f t="shared" si="0"/>
        <v>2.3039999999999998</v>
      </c>
      <c r="Q9" s="242">
        <f t="shared" si="1"/>
        <v>1.92</v>
      </c>
      <c r="R9" s="242">
        <f t="shared" si="2"/>
        <v>1.92</v>
      </c>
      <c r="S9" s="242">
        <f t="shared" si="3"/>
        <v>2.1120000000000001</v>
      </c>
      <c r="T9" s="242">
        <f t="shared" si="4"/>
        <v>1.5359999999999998</v>
      </c>
      <c r="U9" s="242">
        <f t="shared" si="5"/>
        <v>0.96</v>
      </c>
      <c r="V9" s="242">
        <f t="shared" si="6"/>
        <v>2.8800000000000003</v>
      </c>
      <c r="W9" s="242">
        <f t="shared" si="7"/>
        <v>1.92</v>
      </c>
      <c r="X9" s="242">
        <f t="shared" si="8"/>
        <v>0.96</v>
      </c>
      <c r="Y9" s="243">
        <f t="shared" si="9"/>
        <v>1.92</v>
      </c>
    </row>
    <row r="10" spans="2:25" ht="29.25" customHeight="1">
      <c r="B10" s="213" t="s">
        <v>23</v>
      </c>
      <c r="C10" s="212">
        <v>3</v>
      </c>
      <c r="D10" s="210">
        <v>1</v>
      </c>
      <c r="E10" s="209">
        <v>1.75</v>
      </c>
      <c r="F10" s="209">
        <v>2</v>
      </c>
      <c r="G10" s="209">
        <v>2</v>
      </c>
      <c r="H10" s="209">
        <v>0</v>
      </c>
      <c r="I10" s="209">
        <v>3</v>
      </c>
      <c r="J10" s="209">
        <v>1.75</v>
      </c>
      <c r="K10" s="209">
        <v>2</v>
      </c>
      <c r="L10" s="214">
        <v>1.1666666666666667</v>
      </c>
      <c r="M10" s="189"/>
      <c r="N10" s="303">
        <v>2.27</v>
      </c>
      <c r="O10" s="197" t="s">
        <v>23</v>
      </c>
      <c r="P10" s="241">
        <f t="shared" si="0"/>
        <v>2.27</v>
      </c>
      <c r="Q10" s="242">
        <f t="shared" si="1"/>
        <v>0.75666666666666671</v>
      </c>
      <c r="R10" s="242">
        <f t="shared" si="2"/>
        <v>1.3241666666666667</v>
      </c>
      <c r="S10" s="242">
        <f t="shared" si="3"/>
        <v>1.5133333333333334</v>
      </c>
      <c r="T10" s="242">
        <f t="shared" si="4"/>
        <v>1.5133333333333334</v>
      </c>
      <c r="U10" s="242">
        <f t="shared" si="5"/>
        <v>0</v>
      </c>
      <c r="V10" s="242">
        <f t="shared" si="6"/>
        <v>2.27</v>
      </c>
      <c r="W10" s="242">
        <f t="shared" si="7"/>
        <v>1.3241666666666667</v>
      </c>
      <c r="X10" s="242">
        <f t="shared" si="8"/>
        <v>1.5133333333333334</v>
      </c>
      <c r="Y10" s="243">
        <f t="shared" si="9"/>
        <v>0.88277777777777777</v>
      </c>
    </row>
    <row r="11" spans="2:25" ht="29.25" customHeight="1">
      <c r="B11" s="213" t="s">
        <v>24</v>
      </c>
      <c r="C11" s="215">
        <v>3</v>
      </c>
      <c r="D11" s="216">
        <v>1.8333333333333333</v>
      </c>
      <c r="E11" s="216">
        <v>2.1666666666666665</v>
      </c>
      <c r="F11" s="206">
        <v>3</v>
      </c>
      <c r="G11" s="206">
        <v>1.8</v>
      </c>
      <c r="H11" s="206">
        <v>2</v>
      </c>
      <c r="I11" s="206">
        <v>3</v>
      </c>
      <c r="J11" s="206"/>
      <c r="K11" s="206">
        <v>3</v>
      </c>
      <c r="L11" s="207">
        <v>2</v>
      </c>
      <c r="M11" s="189"/>
      <c r="N11" s="303">
        <v>1.82</v>
      </c>
      <c r="O11" s="197" t="s">
        <v>24</v>
      </c>
      <c r="P11" s="241">
        <f t="shared" si="0"/>
        <v>1.82</v>
      </c>
      <c r="Q11" s="242">
        <f t="shared" si="1"/>
        <v>1.1122222222222222</v>
      </c>
      <c r="R11" s="242">
        <f t="shared" si="2"/>
        <v>1.3144444444444445</v>
      </c>
      <c r="S11" s="242">
        <f t="shared" si="3"/>
        <v>1.82</v>
      </c>
      <c r="T11" s="242">
        <f t="shared" si="4"/>
        <v>1.0920000000000001</v>
      </c>
      <c r="U11" s="242">
        <f t="shared" si="5"/>
        <v>1.2133333333333334</v>
      </c>
      <c r="V11" s="242">
        <f t="shared" si="6"/>
        <v>1.82</v>
      </c>
      <c r="W11" s="242">
        <f t="shared" si="7"/>
        <v>0</v>
      </c>
      <c r="X11" s="242">
        <f t="shared" si="8"/>
        <v>1.82</v>
      </c>
      <c r="Y11" s="243">
        <f t="shared" si="9"/>
        <v>1.2133333333333334</v>
      </c>
    </row>
    <row r="12" spans="2:25" ht="29.25" customHeight="1">
      <c r="B12" s="213" t="s">
        <v>25</v>
      </c>
      <c r="C12" s="217">
        <v>2.6666666666666665</v>
      </c>
      <c r="D12" s="218">
        <v>1.6666666666666667</v>
      </c>
      <c r="E12" s="209">
        <v>1</v>
      </c>
      <c r="F12" s="209">
        <v>2</v>
      </c>
      <c r="G12" s="209">
        <v>2.25</v>
      </c>
      <c r="H12" s="209">
        <v>2.2000000000000002</v>
      </c>
      <c r="I12" s="209">
        <v>2.5</v>
      </c>
      <c r="J12" s="218">
        <v>1.6666666666666667</v>
      </c>
      <c r="K12" s="209">
        <v>1.5</v>
      </c>
      <c r="L12" s="211">
        <v>1</v>
      </c>
      <c r="M12" s="189"/>
      <c r="N12" s="303">
        <v>1.53</v>
      </c>
      <c r="O12" s="197" t="s">
        <v>25</v>
      </c>
      <c r="P12" s="241">
        <f t="shared" si="0"/>
        <v>1.36</v>
      </c>
      <c r="Q12" s="242">
        <f t="shared" si="1"/>
        <v>0.85000000000000009</v>
      </c>
      <c r="R12" s="242">
        <f t="shared" si="2"/>
        <v>0.51</v>
      </c>
      <c r="S12" s="242">
        <f t="shared" si="3"/>
        <v>1.02</v>
      </c>
      <c r="T12" s="242">
        <f t="shared" si="4"/>
        <v>1.1475</v>
      </c>
      <c r="U12" s="242">
        <f t="shared" si="5"/>
        <v>1.1220000000000001</v>
      </c>
      <c r="V12" s="242">
        <f t="shared" si="6"/>
        <v>1.2750000000000001</v>
      </c>
      <c r="W12" s="242">
        <f t="shared" si="7"/>
        <v>0.85000000000000009</v>
      </c>
      <c r="X12" s="242">
        <f t="shared" si="8"/>
        <v>0.76500000000000001</v>
      </c>
      <c r="Y12" s="243">
        <f t="shared" si="9"/>
        <v>0.51</v>
      </c>
    </row>
    <row r="13" spans="2:25" ht="29.25" customHeight="1">
      <c r="B13" s="213" t="s">
        <v>26</v>
      </c>
      <c r="C13" s="208">
        <v>3</v>
      </c>
      <c r="D13" s="209">
        <v>3</v>
      </c>
      <c r="E13" s="209">
        <v>2.4</v>
      </c>
      <c r="F13" s="209">
        <v>2</v>
      </c>
      <c r="G13" s="209">
        <v>1.4</v>
      </c>
      <c r="H13" s="209">
        <v>2</v>
      </c>
      <c r="I13" s="209">
        <v>2.2000000000000002</v>
      </c>
      <c r="J13" s="209">
        <v>2</v>
      </c>
      <c r="K13" s="209">
        <v>1</v>
      </c>
      <c r="L13" s="211">
        <v>2</v>
      </c>
      <c r="M13" s="189"/>
      <c r="N13" s="303">
        <v>1.7</v>
      </c>
      <c r="O13" s="197" t="s">
        <v>26</v>
      </c>
      <c r="P13" s="241">
        <f t="shared" si="0"/>
        <v>1.7</v>
      </c>
      <c r="Q13" s="242">
        <f t="shared" si="1"/>
        <v>1.7</v>
      </c>
      <c r="R13" s="242">
        <f t="shared" si="2"/>
        <v>1.36</v>
      </c>
      <c r="S13" s="242">
        <f t="shared" si="3"/>
        <v>1.1333333333333333</v>
      </c>
      <c r="T13" s="242">
        <f t="shared" si="4"/>
        <v>0.79333333333333333</v>
      </c>
      <c r="U13" s="242">
        <f t="shared" si="5"/>
        <v>1.1333333333333333</v>
      </c>
      <c r="V13" s="242">
        <f t="shared" si="6"/>
        <v>1.2466666666666668</v>
      </c>
      <c r="W13" s="242">
        <f t="shared" si="7"/>
        <v>1.1333333333333333</v>
      </c>
      <c r="X13" s="242">
        <f t="shared" si="8"/>
        <v>0.56666666666666665</v>
      </c>
      <c r="Y13" s="243">
        <f t="shared" si="9"/>
        <v>1.1333333333333333</v>
      </c>
    </row>
    <row r="14" spans="2:25" ht="29.25" customHeight="1">
      <c r="B14" s="213" t="s">
        <v>27</v>
      </c>
      <c r="C14" s="208">
        <v>1</v>
      </c>
      <c r="D14" s="209">
        <v>2</v>
      </c>
      <c r="E14" s="209">
        <v>1</v>
      </c>
      <c r="F14" s="209">
        <v>2</v>
      </c>
      <c r="G14" s="209"/>
      <c r="H14" s="209">
        <v>3</v>
      </c>
      <c r="I14" s="209">
        <v>2</v>
      </c>
      <c r="J14" s="209">
        <v>1</v>
      </c>
      <c r="K14" s="209">
        <v>1</v>
      </c>
      <c r="L14" s="211"/>
      <c r="M14" s="189"/>
      <c r="N14" s="303">
        <v>2.75</v>
      </c>
      <c r="O14" s="197" t="s">
        <v>27</v>
      </c>
      <c r="P14" s="241">
        <f t="shared" si="0"/>
        <v>0.91666666666666663</v>
      </c>
      <c r="Q14" s="242">
        <f t="shared" si="1"/>
        <v>1.8333333333333333</v>
      </c>
      <c r="R14" s="242">
        <f t="shared" si="2"/>
        <v>0.91666666666666663</v>
      </c>
      <c r="S14" s="242">
        <f t="shared" si="3"/>
        <v>1.8333333333333333</v>
      </c>
      <c r="T14" s="242">
        <f t="shared" si="4"/>
        <v>0</v>
      </c>
      <c r="U14" s="242">
        <f t="shared" si="5"/>
        <v>2.75</v>
      </c>
      <c r="V14" s="242">
        <f t="shared" si="6"/>
        <v>1.8333333333333333</v>
      </c>
      <c r="W14" s="242">
        <f t="shared" si="7"/>
        <v>0.91666666666666663</v>
      </c>
      <c r="X14" s="242">
        <f t="shared" si="8"/>
        <v>0.91666666666666663</v>
      </c>
      <c r="Y14" s="243">
        <f t="shared" si="9"/>
        <v>0</v>
      </c>
    </row>
    <row r="15" spans="2:25" ht="29.25" customHeight="1">
      <c r="B15" s="213" t="s">
        <v>28</v>
      </c>
      <c r="C15" s="208">
        <v>3</v>
      </c>
      <c r="D15" s="218">
        <v>2.3333333333333335</v>
      </c>
      <c r="E15" s="218">
        <v>1.75</v>
      </c>
      <c r="F15" s="218">
        <v>2.1666666666666665</v>
      </c>
      <c r="G15" s="218">
        <v>2</v>
      </c>
      <c r="H15" s="209">
        <v>2</v>
      </c>
      <c r="I15" s="209">
        <v>2</v>
      </c>
      <c r="J15" s="209">
        <v>3</v>
      </c>
      <c r="K15" s="209">
        <v>3</v>
      </c>
      <c r="L15" s="211">
        <v>2</v>
      </c>
      <c r="M15" s="189"/>
      <c r="N15" s="303">
        <v>3</v>
      </c>
      <c r="O15" s="197" t="s">
        <v>28</v>
      </c>
      <c r="P15" s="241">
        <f t="shared" si="0"/>
        <v>3</v>
      </c>
      <c r="Q15" s="242">
        <f t="shared" si="1"/>
        <v>2.3333333333333335</v>
      </c>
      <c r="R15" s="242">
        <f t="shared" si="2"/>
        <v>1.75</v>
      </c>
      <c r="S15" s="242">
        <f t="shared" si="3"/>
        <v>2.1666666666666665</v>
      </c>
      <c r="T15" s="242">
        <f t="shared" si="4"/>
        <v>2</v>
      </c>
      <c r="U15" s="242">
        <f t="shared" si="5"/>
        <v>2</v>
      </c>
      <c r="V15" s="242">
        <f t="shared" si="6"/>
        <v>2</v>
      </c>
      <c r="W15" s="242">
        <f t="shared" si="7"/>
        <v>3</v>
      </c>
      <c r="X15" s="242">
        <f t="shared" si="8"/>
        <v>3</v>
      </c>
      <c r="Y15" s="243">
        <f t="shared" si="9"/>
        <v>2</v>
      </c>
    </row>
    <row r="16" spans="2:25" ht="29.25" customHeight="1">
      <c r="B16" s="213" t="s">
        <v>29</v>
      </c>
      <c r="C16" s="208">
        <v>3</v>
      </c>
      <c r="D16" s="218">
        <v>1.3333333333333333</v>
      </c>
      <c r="E16" s="218">
        <v>2.1666666666666665</v>
      </c>
      <c r="F16" s="209">
        <v>2</v>
      </c>
      <c r="G16" s="218">
        <v>1.6666666666666667</v>
      </c>
      <c r="H16" s="209">
        <v>1.5</v>
      </c>
      <c r="I16" s="209">
        <v>3</v>
      </c>
      <c r="J16" s="218">
        <v>2.1666666666666665</v>
      </c>
      <c r="K16" s="218">
        <v>1.1666666666666667</v>
      </c>
      <c r="L16" s="214">
        <v>2.3333333333333335</v>
      </c>
      <c r="M16" s="189"/>
      <c r="N16" s="304">
        <v>2.92</v>
      </c>
      <c r="O16" s="197" t="s">
        <v>29</v>
      </c>
      <c r="P16" s="241">
        <f t="shared" si="0"/>
        <v>2.92</v>
      </c>
      <c r="Q16" s="242">
        <f t="shared" si="1"/>
        <v>1.2977777777777777</v>
      </c>
      <c r="R16" s="242">
        <f t="shared" si="2"/>
        <v>2.1088888888888886</v>
      </c>
      <c r="S16" s="242">
        <f t="shared" si="3"/>
        <v>1.9466666666666665</v>
      </c>
      <c r="T16" s="242">
        <f t="shared" si="4"/>
        <v>1.6222222222222225</v>
      </c>
      <c r="U16" s="242">
        <f t="shared" si="5"/>
        <v>1.46</v>
      </c>
      <c r="V16" s="242">
        <f t="shared" si="6"/>
        <v>2.92</v>
      </c>
      <c r="W16" s="242">
        <f t="shared" si="7"/>
        <v>2.1088888888888886</v>
      </c>
      <c r="X16" s="242">
        <f t="shared" si="8"/>
        <v>1.1355555555555557</v>
      </c>
      <c r="Y16" s="243">
        <f t="shared" si="9"/>
        <v>2.2711111111111113</v>
      </c>
    </row>
    <row r="17" spans="2:25" ht="29.25" customHeight="1">
      <c r="B17" s="213" t="s">
        <v>30</v>
      </c>
      <c r="C17" s="208">
        <v>3</v>
      </c>
      <c r="D17" s="209">
        <v>2</v>
      </c>
      <c r="E17" s="209">
        <v>2.2000000000000002</v>
      </c>
      <c r="F17" s="209">
        <v>2</v>
      </c>
      <c r="G17" s="209">
        <v>1</v>
      </c>
      <c r="H17" s="209">
        <v>1.6</v>
      </c>
      <c r="I17" s="209">
        <v>2</v>
      </c>
      <c r="J17" s="209">
        <v>2</v>
      </c>
      <c r="K17" s="209">
        <v>1</v>
      </c>
      <c r="L17" s="211">
        <v>2.4</v>
      </c>
      <c r="M17" s="189"/>
      <c r="N17" s="304">
        <v>2.79</v>
      </c>
      <c r="O17" s="197" t="s">
        <v>30</v>
      </c>
      <c r="P17" s="241">
        <f t="shared" si="0"/>
        <v>2.7900000000000005</v>
      </c>
      <c r="Q17" s="242">
        <f t="shared" si="1"/>
        <v>1.86</v>
      </c>
      <c r="R17" s="242">
        <f t="shared" si="2"/>
        <v>2.0460000000000003</v>
      </c>
      <c r="S17" s="242">
        <f t="shared" si="3"/>
        <v>1.86</v>
      </c>
      <c r="T17" s="242">
        <f t="shared" si="4"/>
        <v>0.93</v>
      </c>
      <c r="U17" s="242">
        <f t="shared" si="5"/>
        <v>1.4880000000000002</v>
      </c>
      <c r="V17" s="242">
        <f t="shared" si="6"/>
        <v>1.86</v>
      </c>
      <c r="W17" s="242">
        <f t="shared" si="7"/>
        <v>1.86</v>
      </c>
      <c r="X17" s="242">
        <f t="shared" si="8"/>
        <v>0.93</v>
      </c>
      <c r="Y17" s="243">
        <f t="shared" si="9"/>
        <v>2.2319999999999998</v>
      </c>
    </row>
    <row r="18" spans="2:25" ht="29.25" customHeight="1">
      <c r="B18" s="213" t="s">
        <v>31</v>
      </c>
      <c r="C18" s="208">
        <v>3</v>
      </c>
      <c r="D18" s="209">
        <v>2.8</v>
      </c>
      <c r="E18" s="209">
        <v>3</v>
      </c>
      <c r="F18" s="209">
        <v>2</v>
      </c>
      <c r="G18" s="209">
        <v>1</v>
      </c>
      <c r="H18" s="209">
        <v>1.8</v>
      </c>
      <c r="I18" s="209">
        <v>2.6</v>
      </c>
      <c r="J18" s="209">
        <v>2</v>
      </c>
      <c r="K18" s="209">
        <v>1</v>
      </c>
      <c r="L18" s="211">
        <v>2</v>
      </c>
      <c r="M18" s="189"/>
      <c r="N18" s="304">
        <v>2.4300000000000002</v>
      </c>
      <c r="O18" s="197" t="s">
        <v>31</v>
      </c>
      <c r="P18" s="241">
        <f t="shared" si="0"/>
        <v>2.4300000000000002</v>
      </c>
      <c r="Q18" s="242">
        <f t="shared" si="1"/>
        <v>2.2680000000000002</v>
      </c>
      <c r="R18" s="242">
        <f t="shared" si="2"/>
        <v>2.4300000000000002</v>
      </c>
      <c r="S18" s="242">
        <f t="shared" si="3"/>
        <v>1.62</v>
      </c>
      <c r="T18" s="242">
        <f t="shared" si="4"/>
        <v>0.81</v>
      </c>
      <c r="U18" s="242">
        <f t="shared" si="5"/>
        <v>1.4580000000000002</v>
      </c>
      <c r="V18" s="242">
        <f t="shared" si="6"/>
        <v>2.1060000000000003</v>
      </c>
      <c r="W18" s="242">
        <f t="shared" si="7"/>
        <v>1.62</v>
      </c>
      <c r="X18" s="242">
        <f t="shared" si="8"/>
        <v>0.81</v>
      </c>
      <c r="Y18" s="243">
        <f t="shared" si="9"/>
        <v>1.62</v>
      </c>
    </row>
    <row r="19" spans="2:25" ht="29.25" customHeight="1">
      <c r="B19" s="213" t="s">
        <v>32</v>
      </c>
      <c r="C19" s="217">
        <v>2.6666666666666665</v>
      </c>
      <c r="D19" s="218">
        <v>2</v>
      </c>
      <c r="E19" s="218">
        <v>2</v>
      </c>
      <c r="F19" s="218">
        <v>2.2000000000000002</v>
      </c>
      <c r="G19" s="218">
        <v>3</v>
      </c>
      <c r="H19" s="218">
        <v>2.3333333333333335</v>
      </c>
      <c r="I19" s="218">
        <v>2</v>
      </c>
      <c r="J19" s="218">
        <v>2.3333333333333335</v>
      </c>
      <c r="K19" s="218"/>
      <c r="L19" s="214">
        <v>2</v>
      </c>
      <c r="M19" s="189"/>
      <c r="N19" s="304">
        <v>1.8</v>
      </c>
      <c r="O19" s="197" t="s">
        <v>32</v>
      </c>
      <c r="P19" s="241">
        <f t="shared" si="0"/>
        <v>1.5999999999999999</v>
      </c>
      <c r="Q19" s="242">
        <f t="shared" si="1"/>
        <v>1.2</v>
      </c>
      <c r="R19" s="242">
        <f t="shared" si="2"/>
        <v>1.2</v>
      </c>
      <c r="S19" s="242">
        <f t="shared" si="3"/>
        <v>1.32</v>
      </c>
      <c r="T19" s="242">
        <f t="shared" si="4"/>
        <v>1.8</v>
      </c>
      <c r="U19" s="242">
        <f t="shared" si="5"/>
        <v>1.4000000000000001</v>
      </c>
      <c r="V19" s="242">
        <f t="shared" si="6"/>
        <v>1.2</v>
      </c>
      <c r="W19" s="242">
        <f t="shared" si="7"/>
        <v>1.4000000000000001</v>
      </c>
      <c r="X19" s="242">
        <f t="shared" si="8"/>
        <v>0</v>
      </c>
      <c r="Y19" s="243">
        <f t="shared" si="9"/>
        <v>1.2</v>
      </c>
    </row>
    <row r="20" spans="2:25" ht="29.25" customHeight="1">
      <c r="B20" s="213" t="s">
        <v>33</v>
      </c>
      <c r="C20" s="208">
        <v>3</v>
      </c>
      <c r="D20" s="209">
        <v>2.4</v>
      </c>
      <c r="E20" s="209">
        <v>3</v>
      </c>
      <c r="F20" s="209">
        <v>2</v>
      </c>
      <c r="G20" s="209">
        <v>2.5</v>
      </c>
      <c r="H20" s="209">
        <v>2</v>
      </c>
      <c r="I20" s="209">
        <v>2</v>
      </c>
      <c r="J20" s="209">
        <v>2</v>
      </c>
      <c r="K20" s="209">
        <v>1</v>
      </c>
      <c r="L20" s="211">
        <v>2.2000000000000002</v>
      </c>
      <c r="M20" s="189"/>
      <c r="N20" s="304">
        <v>2.61</v>
      </c>
      <c r="O20" s="197" t="s">
        <v>33</v>
      </c>
      <c r="P20" s="241">
        <f t="shared" si="0"/>
        <v>2.61</v>
      </c>
      <c r="Q20" s="242">
        <f t="shared" si="1"/>
        <v>2.0879999999999996</v>
      </c>
      <c r="R20" s="242">
        <f t="shared" si="2"/>
        <v>2.61</v>
      </c>
      <c r="S20" s="242">
        <f t="shared" si="3"/>
        <v>1.74</v>
      </c>
      <c r="T20" s="242">
        <f t="shared" si="4"/>
        <v>2.1749999999999998</v>
      </c>
      <c r="U20" s="242">
        <f t="shared" si="5"/>
        <v>1.74</v>
      </c>
      <c r="V20" s="242">
        <f t="shared" si="6"/>
        <v>1.74</v>
      </c>
      <c r="W20" s="242">
        <f t="shared" si="7"/>
        <v>1.74</v>
      </c>
      <c r="X20" s="242">
        <f t="shared" si="8"/>
        <v>0.87</v>
      </c>
      <c r="Y20" s="243">
        <f t="shared" si="9"/>
        <v>1.9139999999999999</v>
      </c>
    </row>
    <row r="21" spans="2:25" ht="29.25" customHeight="1">
      <c r="B21" s="213" t="s">
        <v>34</v>
      </c>
      <c r="C21" s="208">
        <v>3</v>
      </c>
      <c r="D21" s="209">
        <v>2.4</v>
      </c>
      <c r="E21" s="209">
        <v>2.75</v>
      </c>
      <c r="F21" s="209">
        <v>2.25</v>
      </c>
      <c r="G21" s="209">
        <v>1</v>
      </c>
      <c r="H21" s="209">
        <v>1.75</v>
      </c>
      <c r="I21" s="209">
        <v>2.6</v>
      </c>
      <c r="J21" s="209">
        <v>2.8</v>
      </c>
      <c r="K21" s="209">
        <v>1.2</v>
      </c>
      <c r="L21" s="211">
        <v>2.25</v>
      </c>
      <c r="M21" s="189"/>
      <c r="N21" s="304">
        <v>2.3199999999999998</v>
      </c>
      <c r="O21" s="197" t="s">
        <v>34</v>
      </c>
      <c r="P21" s="241">
        <f t="shared" si="0"/>
        <v>2.3199999999999998</v>
      </c>
      <c r="Q21" s="242">
        <f t="shared" si="1"/>
        <v>1.8559999999999999</v>
      </c>
      <c r="R21" s="242">
        <f t="shared" si="2"/>
        <v>2.1266666666666665</v>
      </c>
      <c r="S21" s="242">
        <f t="shared" si="3"/>
        <v>1.74</v>
      </c>
      <c r="T21" s="242">
        <f t="shared" si="4"/>
        <v>0.77333333333333332</v>
      </c>
      <c r="U21" s="242">
        <f t="shared" si="5"/>
        <v>1.3533333333333333</v>
      </c>
      <c r="V21" s="242">
        <f t="shared" si="6"/>
        <v>2.0106666666666668</v>
      </c>
      <c r="W21" s="242">
        <f t="shared" si="7"/>
        <v>2.1653333333333333</v>
      </c>
      <c r="X21" s="242">
        <f t="shared" si="8"/>
        <v>0.92799999999999994</v>
      </c>
      <c r="Y21" s="243">
        <f t="shared" si="9"/>
        <v>1.74</v>
      </c>
    </row>
    <row r="22" spans="2:25" ht="29.25" customHeight="1">
      <c r="B22" s="213" t="s">
        <v>35</v>
      </c>
      <c r="C22" s="208">
        <v>3</v>
      </c>
      <c r="D22" s="209">
        <v>3</v>
      </c>
      <c r="E22" s="209">
        <v>3</v>
      </c>
      <c r="F22" s="209">
        <v>2.2000000000000002</v>
      </c>
      <c r="G22" s="209">
        <v>1</v>
      </c>
      <c r="H22" s="209">
        <v>2</v>
      </c>
      <c r="I22" s="209">
        <v>2.8</v>
      </c>
      <c r="J22" s="209">
        <v>3</v>
      </c>
      <c r="K22" s="209">
        <v>1</v>
      </c>
      <c r="L22" s="211">
        <v>2</v>
      </c>
      <c r="M22" s="189"/>
      <c r="N22" s="304">
        <v>2.83</v>
      </c>
      <c r="O22" s="197" t="s">
        <v>35</v>
      </c>
      <c r="P22" s="241">
        <f t="shared" si="0"/>
        <v>2.83</v>
      </c>
      <c r="Q22" s="242">
        <f t="shared" si="1"/>
        <v>2.83</v>
      </c>
      <c r="R22" s="242">
        <f t="shared" si="2"/>
        <v>2.83</v>
      </c>
      <c r="S22" s="242">
        <f t="shared" si="3"/>
        <v>2.0753333333333335</v>
      </c>
      <c r="T22" s="242">
        <f t="shared" si="4"/>
        <v>0.94333333333333336</v>
      </c>
      <c r="U22" s="242">
        <f t="shared" si="5"/>
        <v>1.8866666666666667</v>
      </c>
      <c r="V22" s="242">
        <f t="shared" si="6"/>
        <v>2.6413333333333333</v>
      </c>
      <c r="W22" s="242">
        <f t="shared" si="7"/>
        <v>2.83</v>
      </c>
      <c r="X22" s="242">
        <f t="shared" si="8"/>
        <v>0.94333333333333336</v>
      </c>
      <c r="Y22" s="243">
        <f t="shared" si="9"/>
        <v>1.8866666666666667</v>
      </c>
    </row>
    <row r="23" spans="2:25" ht="29.25" customHeight="1">
      <c r="B23" s="213" t="s">
        <v>36</v>
      </c>
      <c r="C23" s="208">
        <v>3</v>
      </c>
      <c r="D23" s="209">
        <v>3</v>
      </c>
      <c r="E23" s="218">
        <v>1.6666666666666667</v>
      </c>
      <c r="F23" s="209">
        <v>2.2000000000000002</v>
      </c>
      <c r="G23" s="209">
        <v>2.2000000000000002</v>
      </c>
      <c r="H23" s="209">
        <v>2.4</v>
      </c>
      <c r="I23" s="209">
        <v>2.4</v>
      </c>
      <c r="J23" s="209">
        <v>2</v>
      </c>
      <c r="K23" s="209">
        <v>1</v>
      </c>
      <c r="L23" s="211">
        <v>2</v>
      </c>
      <c r="M23" s="189"/>
      <c r="N23" s="304">
        <v>3</v>
      </c>
      <c r="O23" s="197" t="s">
        <v>36</v>
      </c>
      <c r="P23" s="241">
        <f t="shared" si="0"/>
        <v>3</v>
      </c>
      <c r="Q23" s="242">
        <f t="shared" si="1"/>
        <v>3</v>
      </c>
      <c r="R23" s="242">
        <f t="shared" si="2"/>
        <v>1.6666666666666667</v>
      </c>
      <c r="S23" s="242">
        <f t="shared" si="3"/>
        <v>2.2000000000000002</v>
      </c>
      <c r="T23" s="242">
        <f t="shared" si="4"/>
        <v>2.2000000000000002</v>
      </c>
      <c r="U23" s="242">
        <f t="shared" si="5"/>
        <v>2.4</v>
      </c>
      <c r="V23" s="242">
        <f t="shared" si="6"/>
        <v>2.4</v>
      </c>
      <c r="W23" s="242">
        <f t="shared" si="7"/>
        <v>2</v>
      </c>
      <c r="X23" s="242">
        <f t="shared" si="8"/>
        <v>1</v>
      </c>
      <c r="Y23" s="243">
        <f t="shared" si="9"/>
        <v>2</v>
      </c>
    </row>
    <row r="24" spans="2:25" ht="29.25" customHeight="1">
      <c r="B24" s="213" t="s">
        <v>37</v>
      </c>
      <c r="C24" s="208">
        <v>3</v>
      </c>
      <c r="D24" s="209">
        <v>2.8</v>
      </c>
      <c r="E24" s="209">
        <v>3</v>
      </c>
      <c r="F24" s="209">
        <v>2.2000000000000002</v>
      </c>
      <c r="G24" s="209">
        <v>2</v>
      </c>
      <c r="H24" s="209">
        <v>2</v>
      </c>
      <c r="I24" s="209">
        <v>3</v>
      </c>
      <c r="J24" s="209">
        <v>3</v>
      </c>
      <c r="K24" s="209">
        <v>1.8</v>
      </c>
      <c r="L24" s="211">
        <v>2</v>
      </c>
      <c r="M24" s="189"/>
      <c r="N24" s="304">
        <v>2.9</v>
      </c>
      <c r="O24" s="197" t="s">
        <v>37</v>
      </c>
      <c r="P24" s="241">
        <f t="shared" si="0"/>
        <v>2.9</v>
      </c>
      <c r="Q24" s="242">
        <f t="shared" si="1"/>
        <v>2.7066666666666666</v>
      </c>
      <c r="R24" s="242">
        <f t="shared" si="2"/>
        <v>2.9</v>
      </c>
      <c r="S24" s="242">
        <f t="shared" si="3"/>
        <v>2.1266666666666665</v>
      </c>
      <c r="T24" s="242">
        <f t="shared" si="4"/>
        <v>1.9333333333333333</v>
      </c>
      <c r="U24" s="242">
        <f t="shared" si="5"/>
        <v>1.9333333333333333</v>
      </c>
      <c r="V24" s="242">
        <f t="shared" si="6"/>
        <v>2.9</v>
      </c>
      <c r="W24" s="242">
        <f t="shared" si="7"/>
        <v>2.9</v>
      </c>
      <c r="X24" s="242">
        <f t="shared" si="8"/>
        <v>1.74</v>
      </c>
      <c r="Y24" s="243">
        <f t="shared" si="9"/>
        <v>1.9333333333333333</v>
      </c>
    </row>
    <row r="25" spans="2:25" ht="29.25" customHeight="1">
      <c r="B25" s="213" t="s">
        <v>38</v>
      </c>
      <c r="C25" s="208">
        <v>3</v>
      </c>
      <c r="D25" s="209">
        <v>2.8</v>
      </c>
      <c r="E25" s="209">
        <v>3</v>
      </c>
      <c r="F25" s="209">
        <v>2.5</v>
      </c>
      <c r="G25" s="209">
        <v>1</v>
      </c>
      <c r="H25" s="218">
        <v>1.6666666666666667</v>
      </c>
      <c r="I25" s="209">
        <v>2.4</v>
      </c>
      <c r="J25" s="209">
        <v>1.8</v>
      </c>
      <c r="K25" s="209">
        <v>1</v>
      </c>
      <c r="L25" s="211">
        <v>2</v>
      </c>
      <c r="M25" s="189"/>
      <c r="N25" s="304">
        <v>2.6</v>
      </c>
      <c r="O25" s="197" t="s">
        <v>38</v>
      </c>
      <c r="P25" s="241">
        <f t="shared" si="0"/>
        <v>2.6</v>
      </c>
      <c r="Q25" s="242">
        <f t="shared" si="1"/>
        <v>2.4266666666666663</v>
      </c>
      <c r="R25" s="242">
        <f t="shared" si="2"/>
        <v>2.6</v>
      </c>
      <c r="S25" s="242">
        <f t="shared" si="3"/>
        <v>2.1666666666666665</v>
      </c>
      <c r="T25" s="242">
        <f t="shared" si="4"/>
        <v>0.8666666666666667</v>
      </c>
      <c r="U25" s="242">
        <f t="shared" si="5"/>
        <v>1.4444444444444446</v>
      </c>
      <c r="V25" s="242">
        <f t="shared" si="6"/>
        <v>2.08</v>
      </c>
      <c r="W25" s="242">
        <f t="shared" si="7"/>
        <v>1.5600000000000003</v>
      </c>
      <c r="X25" s="242">
        <f t="shared" si="8"/>
        <v>0.8666666666666667</v>
      </c>
      <c r="Y25" s="243">
        <f t="shared" si="9"/>
        <v>1.7333333333333334</v>
      </c>
    </row>
    <row r="26" spans="2:25" ht="29.25" customHeight="1">
      <c r="B26" s="213" t="s">
        <v>39</v>
      </c>
      <c r="C26" s="208">
        <v>3</v>
      </c>
      <c r="D26" s="209">
        <v>2</v>
      </c>
      <c r="E26" s="209">
        <v>2.5</v>
      </c>
      <c r="F26" s="209">
        <v>2.8</v>
      </c>
      <c r="G26" s="209">
        <v>1</v>
      </c>
      <c r="H26" s="209">
        <v>1.4</v>
      </c>
      <c r="I26" s="209">
        <v>2</v>
      </c>
      <c r="J26" s="209">
        <v>3</v>
      </c>
      <c r="K26" s="209">
        <v>1</v>
      </c>
      <c r="L26" s="211">
        <v>2.6</v>
      </c>
      <c r="M26" s="189"/>
      <c r="N26" s="304">
        <v>3</v>
      </c>
      <c r="O26" s="197" t="s">
        <v>39</v>
      </c>
      <c r="P26" s="241">
        <f t="shared" si="0"/>
        <v>3</v>
      </c>
      <c r="Q26" s="242">
        <f t="shared" si="1"/>
        <v>2</v>
      </c>
      <c r="R26" s="242">
        <f t="shared" si="2"/>
        <v>2.5</v>
      </c>
      <c r="S26" s="242">
        <f t="shared" si="3"/>
        <v>2.7999999999999994</v>
      </c>
      <c r="T26" s="242">
        <f t="shared" si="4"/>
        <v>1</v>
      </c>
      <c r="U26" s="242">
        <f t="shared" si="5"/>
        <v>1.3999999999999997</v>
      </c>
      <c r="V26" s="242">
        <f t="shared" si="6"/>
        <v>2</v>
      </c>
      <c r="W26" s="242">
        <f t="shared" si="7"/>
        <v>3</v>
      </c>
      <c r="X26" s="242">
        <f t="shared" si="8"/>
        <v>1</v>
      </c>
      <c r="Y26" s="243">
        <f t="shared" si="9"/>
        <v>2.6</v>
      </c>
    </row>
    <row r="27" spans="2:25" ht="29.25" customHeight="1">
      <c r="B27" s="213" t="s">
        <v>40</v>
      </c>
      <c r="C27" s="208">
        <v>2</v>
      </c>
      <c r="D27" s="209">
        <v>1</v>
      </c>
      <c r="E27" s="209"/>
      <c r="F27" s="209">
        <v>2</v>
      </c>
      <c r="G27" s="209">
        <v>3</v>
      </c>
      <c r="H27" s="209"/>
      <c r="I27" s="209">
        <v>2.2000000000000002</v>
      </c>
      <c r="J27" s="209"/>
      <c r="K27" s="209"/>
      <c r="L27" s="211"/>
      <c r="M27" s="189"/>
      <c r="N27" s="304">
        <v>3</v>
      </c>
      <c r="O27" s="197" t="s">
        <v>40</v>
      </c>
      <c r="P27" s="241">
        <f t="shared" si="0"/>
        <v>2</v>
      </c>
      <c r="Q27" s="242">
        <f t="shared" si="1"/>
        <v>1</v>
      </c>
      <c r="R27" s="242">
        <f t="shared" si="2"/>
        <v>0</v>
      </c>
      <c r="S27" s="242">
        <f t="shared" si="3"/>
        <v>2</v>
      </c>
      <c r="T27" s="242">
        <f t="shared" si="4"/>
        <v>3</v>
      </c>
      <c r="U27" s="242">
        <f t="shared" si="5"/>
        <v>0</v>
      </c>
      <c r="V27" s="242">
        <f t="shared" si="6"/>
        <v>2.2000000000000002</v>
      </c>
      <c r="W27" s="242">
        <f t="shared" si="7"/>
        <v>0</v>
      </c>
      <c r="X27" s="242">
        <f t="shared" si="8"/>
        <v>0</v>
      </c>
      <c r="Y27" s="243">
        <f t="shared" si="9"/>
        <v>0</v>
      </c>
    </row>
    <row r="28" spans="2:25" ht="29.25" customHeight="1">
      <c r="B28" s="213" t="s">
        <v>41</v>
      </c>
      <c r="C28" s="208">
        <v>3</v>
      </c>
      <c r="D28" s="209">
        <v>2</v>
      </c>
      <c r="E28" s="209">
        <v>2</v>
      </c>
      <c r="F28" s="218">
        <v>2.6666666666666665</v>
      </c>
      <c r="G28" s="209">
        <v>1</v>
      </c>
      <c r="H28" s="209"/>
      <c r="I28" s="209">
        <v>2.2000000000000002</v>
      </c>
      <c r="J28" s="209">
        <v>2.4</v>
      </c>
      <c r="K28" s="209">
        <v>1.6</v>
      </c>
      <c r="L28" s="211">
        <v>1.8</v>
      </c>
      <c r="M28" s="189"/>
      <c r="N28" s="304">
        <v>1.9</v>
      </c>
      <c r="O28" s="197" t="s">
        <v>41</v>
      </c>
      <c r="P28" s="241">
        <f t="shared" si="0"/>
        <v>1.8999999999999997</v>
      </c>
      <c r="Q28" s="242">
        <f t="shared" si="1"/>
        <v>1.2666666666666666</v>
      </c>
      <c r="R28" s="242">
        <f t="shared" si="2"/>
        <v>1.2666666666666666</v>
      </c>
      <c r="S28" s="242">
        <f t="shared" si="3"/>
        <v>1.6888888888888889</v>
      </c>
      <c r="T28" s="242">
        <f t="shared" si="4"/>
        <v>0.6333333333333333</v>
      </c>
      <c r="U28" s="242">
        <f t="shared" si="5"/>
        <v>0</v>
      </c>
      <c r="V28" s="242">
        <f t="shared" si="6"/>
        <v>1.3933333333333333</v>
      </c>
      <c r="W28" s="242">
        <f t="shared" si="7"/>
        <v>1.5199999999999998</v>
      </c>
      <c r="X28" s="242">
        <f t="shared" si="8"/>
        <v>1.0133333333333334</v>
      </c>
      <c r="Y28" s="243">
        <f t="shared" si="9"/>
        <v>1.1399999999999999</v>
      </c>
    </row>
    <row r="29" spans="2:25" ht="29.25" customHeight="1">
      <c r="B29" s="213" t="s">
        <v>42</v>
      </c>
      <c r="C29" s="208">
        <v>3</v>
      </c>
      <c r="D29" s="209">
        <v>2.8</v>
      </c>
      <c r="E29" s="209">
        <v>2.4</v>
      </c>
      <c r="F29" s="209">
        <v>2.8</v>
      </c>
      <c r="G29" s="209">
        <v>1</v>
      </c>
      <c r="H29" s="209">
        <v>2</v>
      </c>
      <c r="I29" s="209">
        <v>3</v>
      </c>
      <c r="J29" s="209">
        <v>3</v>
      </c>
      <c r="K29" s="209">
        <v>1.25</v>
      </c>
      <c r="L29" s="211">
        <v>2</v>
      </c>
      <c r="M29" s="189"/>
      <c r="N29" s="304">
        <v>2.78</v>
      </c>
      <c r="O29" s="197" t="s">
        <v>42</v>
      </c>
      <c r="P29" s="241">
        <f t="shared" si="0"/>
        <v>2.78</v>
      </c>
      <c r="Q29" s="242">
        <f t="shared" si="1"/>
        <v>2.5946666666666665</v>
      </c>
      <c r="R29" s="242">
        <f t="shared" si="2"/>
        <v>2.2239999999999998</v>
      </c>
      <c r="S29" s="242">
        <f t="shared" si="3"/>
        <v>2.5946666666666665</v>
      </c>
      <c r="T29" s="242">
        <f t="shared" si="4"/>
        <v>0.92666666666666664</v>
      </c>
      <c r="U29" s="242">
        <f t="shared" si="5"/>
        <v>1.8533333333333333</v>
      </c>
      <c r="V29" s="242">
        <f t="shared" si="6"/>
        <v>2.78</v>
      </c>
      <c r="W29" s="242">
        <f t="shared" si="7"/>
        <v>2.78</v>
      </c>
      <c r="X29" s="242">
        <f t="shared" si="8"/>
        <v>1.1583333333333332</v>
      </c>
      <c r="Y29" s="243">
        <f t="shared" si="9"/>
        <v>1.8533333333333333</v>
      </c>
    </row>
    <row r="30" spans="2:25" ht="29.25" customHeight="1">
      <c r="B30" s="213" t="s">
        <v>43</v>
      </c>
      <c r="C30" s="208">
        <v>3</v>
      </c>
      <c r="D30" s="209">
        <v>2.4</v>
      </c>
      <c r="E30" s="209">
        <v>2</v>
      </c>
      <c r="F30" s="209">
        <v>2</v>
      </c>
      <c r="G30" s="209">
        <v>1.6</v>
      </c>
      <c r="H30" s="209">
        <v>2.2000000000000002</v>
      </c>
      <c r="I30" s="209">
        <v>2.8</v>
      </c>
      <c r="J30" s="209">
        <v>2</v>
      </c>
      <c r="K30" s="209">
        <v>1</v>
      </c>
      <c r="L30" s="211">
        <v>2</v>
      </c>
      <c r="M30" s="189"/>
      <c r="N30" s="304">
        <v>1.91</v>
      </c>
      <c r="O30" s="197" t="s">
        <v>43</v>
      </c>
      <c r="P30" s="241">
        <f t="shared" si="0"/>
        <v>1.91</v>
      </c>
      <c r="Q30" s="242">
        <f t="shared" si="1"/>
        <v>1.5279999999999998</v>
      </c>
      <c r="R30" s="242">
        <f t="shared" si="2"/>
        <v>1.2733333333333332</v>
      </c>
      <c r="S30" s="242">
        <f t="shared" si="3"/>
        <v>1.2733333333333332</v>
      </c>
      <c r="T30" s="242">
        <f t="shared" si="4"/>
        <v>1.0186666666666666</v>
      </c>
      <c r="U30" s="242">
        <f t="shared" si="5"/>
        <v>1.4006666666666667</v>
      </c>
      <c r="V30" s="242">
        <f t="shared" si="6"/>
        <v>1.7826666666666666</v>
      </c>
      <c r="W30" s="242">
        <f t="shared" si="7"/>
        <v>1.2733333333333332</v>
      </c>
      <c r="X30" s="242">
        <f t="shared" si="8"/>
        <v>0.6366666666666666</v>
      </c>
      <c r="Y30" s="243">
        <f t="shared" si="9"/>
        <v>1.2733333333333332</v>
      </c>
    </row>
    <row r="31" spans="2:25" ht="29.25" customHeight="1">
      <c r="B31" s="213" t="s">
        <v>44</v>
      </c>
      <c r="C31" s="208">
        <v>3</v>
      </c>
      <c r="D31" s="209">
        <v>2.8</v>
      </c>
      <c r="E31" s="209">
        <v>3</v>
      </c>
      <c r="F31" s="209">
        <v>2.8</v>
      </c>
      <c r="G31" s="209">
        <v>1</v>
      </c>
      <c r="H31" s="209">
        <v>2</v>
      </c>
      <c r="I31" s="209">
        <v>2.6</v>
      </c>
      <c r="J31" s="209">
        <v>2.6</v>
      </c>
      <c r="K31" s="209">
        <v>1</v>
      </c>
      <c r="L31" s="211">
        <v>2</v>
      </c>
      <c r="M31" s="189"/>
      <c r="N31" s="304">
        <v>2.2799999999999998</v>
      </c>
      <c r="O31" s="197" t="s">
        <v>44</v>
      </c>
      <c r="P31" s="241">
        <f t="shared" si="0"/>
        <v>2.2799999999999998</v>
      </c>
      <c r="Q31" s="242">
        <f t="shared" si="1"/>
        <v>2.1279999999999997</v>
      </c>
      <c r="R31" s="242">
        <f t="shared" si="2"/>
        <v>2.2799999999999998</v>
      </c>
      <c r="S31" s="242">
        <f t="shared" si="3"/>
        <v>2.1279999999999997</v>
      </c>
      <c r="T31" s="242">
        <f t="shared" si="4"/>
        <v>0.7599999999999999</v>
      </c>
      <c r="U31" s="242">
        <f t="shared" si="5"/>
        <v>1.5199999999999998</v>
      </c>
      <c r="V31" s="242">
        <f t="shared" si="6"/>
        <v>1.976</v>
      </c>
      <c r="W31" s="242">
        <f t="shared" si="7"/>
        <v>1.976</v>
      </c>
      <c r="X31" s="242">
        <f t="shared" si="8"/>
        <v>0.7599999999999999</v>
      </c>
      <c r="Y31" s="243">
        <f t="shared" si="9"/>
        <v>1.5199999999999998</v>
      </c>
    </row>
    <row r="32" spans="2:25" ht="29.25" customHeight="1">
      <c r="B32" s="213" t="s">
        <v>45</v>
      </c>
      <c r="C32" s="208">
        <v>2.5</v>
      </c>
      <c r="D32" s="209">
        <v>2.25</v>
      </c>
      <c r="E32" s="209">
        <v>2</v>
      </c>
      <c r="F32" s="218">
        <v>2.3333333333333335</v>
      </c>
      <c r="G32" s="209">
        <v>3</v>
      </c>
      <c r="H32" s="209">
        <v>2.25</v>
      </c>
      <c r="I32" s="209">
        <v>2.5</v>
      </c>
      <c r="J32" s="209">
        <v>2</v>
      </c>
      <c r="K32" s="209">
        <v>2</v>
      </c>
      <c r="L32" s="211">
        <v>2</v>
      </c>
      <c r="M32" s="189"/>
      <c r="N32" s="304">
        <v>3</v>
      </c>
      <c r="O32" s="197" t="s">
        <v>45</v>
      </c>
      <c r="P32" s="241">
        <f t="shared" si="0"/>
        <v>2.5</v>
      </c>
      <c r="Q32" s="242">
        <f t="shared" si="1"/>
        <v>2.25</v>
      </c>
      <c r="R32" s="242">
        <f t="shared" si="2"/>
        <v>2</v>
      </c>
      <c r="S32" s="242">
        <f t="shared" si="3"/>
        <v>2.3333333333333335</v>
      </c>
      <c r="T32" s="242">
        <f t="shared" si="4"/>
        <v>3</v>
      </c>
      <c r="U32" s="242">
        <f t="shared" si="5"/>
        <v>2.25</v>
      </c>
      <c r="V32" s="242">
        <f t="shared" si="6"/>
        <v>2.5</v>
      </c>
      <c r="W32" s="242">
        <f t="shared" si="7"/>
        <v>2</v>
      </c>
      <c r="X32" s="242">
        <f t="shared" si="8"/>
        <v>2</v>
      </c>
      <c r="Y32" s="243">
        <f t="shared" si="9"/>
        <v>2</v>
      </c>
    </row>
    <row r="33" spans="2:25" ht="29.25" customHeight="1">
      <c r="B33" s="213" t="s">
        <v>46</v>
      </c>
      <c r="C33" s="208">
        <v>3</v>
      </c>
      <c r="D33" s="218">
        <v>2.3333333333333335</v>
      </c>
      <c r="E33" s="218">
        <v>2.2222222222222223</v>
      </c>
      <c r="F33" s="218">
        <v>2.375</v>
      </c>
      <c r="G33" s="209">
        <v>2</v>
      </c>
      <c r="H33" s="209">
        <v>3</v>
      </c>
      <c r="I33" s="218">
        <v>2.7142857142857144</v>
      </c>
      <c r="J33" s="218">
        <v>2.7142857142857144</v>
      </c>
      <c r="K33" s="209">
        <v>2.6</v>
      </c>
      <c r="L33" s="211">
        <v>2</v>
      </c>
      <c r="M33" s="189"/>
      <c r="N33" s="304">
        <v>3</v>
      </c>
      <c r="O33" s="197" t="s">
        <v>46</v>
      </c>
      <c r="P33" s="241">
        <f t="shared" si="0"/>
        <v>3</v>
      </c>
      <c r="Q33" s="242">
        <f t="shared" si="1"/>
        <v>2.3333333333333335</v>
      </c>
      <c r="R33" s="242">
        <f t="shared" si="2"/>
        <v>2.2222222222222223</v>
      </c>
      <c r="S33" s="242">
        <f t="shared" si="3"/>
        <v>2.375</v>
      </c>
      <c r="T33" s="242">
        <f t="shared" si="4"/>
        <v>2</v>
      </c>
      <c r="U33" s="242">
        <f t="shared" si="5"/>
        <v>3</v>
      </c>
      <c r="V33" s="242">
        <f t="shared" si="6"/>
        <v>2.714285714285714</v>
      </c>
      <c r="W33" s="242">
        <f t="shared" si="7"/>
        <v>2.714285714285714</v>
      </c>
      <c r="X33" s="242">
        <f t="shared" si="8"/>
        <v>2.6</v>
      </c>
      <c r="Y33" s="243">
        <f t="shared" si="9"/>
        <v>2</v>
      </c>
    </row>
    <row r="34" spans="2:25" ht="29.25" customHeight="1">
      <c r="B34" s="213" t="s">
        <v>47</v>
      </c>
      <c r="C34" s="208">
        <v>1.4</v>
      </c>
      <c r="D34" s="209">
        <v>2</v>
      </c>
      <c r="E34" s="209">
        <v>2</v>
      </c>
      <c r="F34" s="209">
        <v>2</v>
      </c>
      <c r="G34" s="209">
        <v>3</v>
      </c>
      <c r="H34" s="209">
        <v>2.4</v>
      </c>
      <c r="I34" s="209">
        <v>2.4</v>
      </c>
      <c r="J34" s="209"/>
      <c r="K34" s="209"/>
      <c r="L34" s="211">
        <v>2</v>
      </c>
      <c r="M34" s="189"/>
      <c r="N34" s="304">
        <v>2.85</v>
      </c>
      <c r="O34" s="197" t="s">
        <v>47</v>
      </c>
      <c r="P34" s="241">
        <f t="shared" si="0"/>
        <v>1.3299999999999998</v>
      </c>
      <c r="Q34" s="242">
        <f t="shared" si="1"/>
        <v>1.9000000000000001</v>
      </c>
      <c r="R34" s="242">
        <f t="shared" si="2"/>
        <v>1.9000000000000001</v>
      </c>
      <c r="S34" s="242">
        <f t="shared" si="3"/>
        <v>1.9000000000000001</v>
      </c>
      <c r="T34" s="242">
        <f t="shared" si="4"/>
        <v>2.85</v>
      </c>
      <c r="U34" s="242">
        <f t="shared" si="5"/>
        <v>2.2799999999999998</v>
      </c>
      <c r="V34" s="242">
        <f t="shared" si="6"/>
        <v>2.2799999999999998</v>
      </c>
      <c r="W34" s="242">
        <f t="shared" si="7"/>
        <v>0</v>
      </c>
      <c r="X34" s="242">
        <f t="shared" si="8"/>
        <v>0</v>
      </c>
      <c r="Y34" s="243">
        <f t="shared" si="9"/>
        <v>1.9000000000000001</v>
      </c>
    </row>
    <row r="35" spans="2:25" ht="29.25" customHeight="1">
      <c r="B35" s="213" t="s">
        <v>48</v>
      </c>
      <c r="C35" s="217">
        <v>2.6666666666666665</v>
      </c>
      <c r="D35" s="218">
        <v>1.6666666666666667</v>
      </c>
      <c r="E35" s="209">
        <v>1</v>
      </c>
      <c r="F35" s="209">
        <v>2</v>
      </c>
      <c r="G35" s="209">
        <v>2</v>
      </c>
      <c r="H35" s="218">
        <v>1.8333333333333333</v>
      </c>
      <c r="I35" s="209">
        <v>2.4</v>
      </c>
      <c r="J35" s="209">
        <v>2</v>
      </c>
      <c r="K35" s="209">
        <v>1</v>
      </c>
      <c r="L35" s="211">
        <v>2</v>
      </c>
      <c r="M35" s="189"/>
      <c r="N35" s="304">
        <v>2.83</v>
      </c>
      <c r="O35" s="197" t="s">
        <v>48</v>
      </c>
      <c r="P35" s="241">
        <f t="shared" si="0"/>
        <v>2.5155555555555558</v>
      </c>
      <c r="Q35" s="242">
        <f t="shared" si="1"/>
        <v>1.5722222222222222</v>
      </c>
      <c r="R35" s="242">
        <f t="shared" si="2"/>
        <v>0.94333333333333336</v>
      </c>
      <c r="S35" s="242">
        <f t="shared" si="3"/>
        <v>1.8866666666666667</v>
      </c>
      <c r="T35" s="242">
        <f t="shared" si="4"/>
        <v>1.8866666666666667</v>
      </c>
      <c r="U35" s="242">
        <f t="shared" si="5"/>
        <v>1.7294444444444446</v>
      </c>
      <c r="V35" s="242">
        <f t="shared" si="6"/>
        <v>2.2639999999999998</v>
      </c>
      <c r="W35" s="242">
        <f t="shared" si="7"/>
        <v>1.8866666666666667</v>
      </c>
      <c r="X35" s="242">
        <f t="shared" si="8"/>
        <v>0.94333333333333336</v>
      </c>
      <c r="Y35" s="243">
        <f t="shared" si="9"/>
        <v>1.8866666666666667</v>
      </c>
    </row>
    <row r="36" spans="2:25" ht="29.25" customHeight="1">
      <c r="B36" s="213" t="s">
        <v>49</v>
      </c>
      <c r="C36" s="208">
        <v>3</v>
      </c>
      <c r="D36" s="209">
        <v>3</v>
      </c>
      <c r="E36" s="209">
        <v>3</v>
      </c>
      <c r="F36" s="209">
        <v>2.6</v>
      </c>
      <c r="G36" s="209">
        <v>2</v>
      </c>
      <c r="H36" s="209">
        <v>2.2000000000000002</v>
      </c>
      <c r="I36" s="209">
        <v>2.6</v>
      </c>
      <c r="J36" s="209">
        <v>3</v>
      </c>
      <c r="K36" s="209">
        <v>1</v>
      </c>
      <c r="L36" s="211">
        <v>2</v>
      </c>
      <c r="M36" s="189"/>
      <c r="N36" s="304">
        <v>2.85</v>
      </c>
      <c r="O36" s="197" t="s">
        <v>49</v>
      </c>
      <c r="P36" s="241">
        <f t="shared" si="0"/>
        <v>2.85</v>
      </c>
      <c r="Q36" s="242">
        <f t="shared" si="1"/>
        <v>2.85</v>
      </c>
      <c r="R36" s="242">
        <f t="shared" si="2"/>
        <v>2.85</v>
      </c>
      <c r="S36" s="242">
        <f t="shared" si="3"/>
        <v>2.4700000000000002</v>
      </c>
      <c r="T36" s="242">
        <f t="shared" si="4"/>
        <v>1.9000000000000001</v>
      </c>
      <c r="U36" s="242">
        <f t="shared" si="5"/>
        <v>2.0900000000000003</v>
      </c>
      <c r="V36" s="242">
        <f t="shared" si="6"/>
        <v>2.4700000000000002</v>
      </c>
      <c r="W36" s="242">
        <f t="shared" si="7"/>
        <v>2.85</v>
      </c>
      <c r="X36" s="242">
        <f t="shared" si="8"/>
        <v>0.95000000000000007</v>
      </c>
      <c r="Y36" s="243">
        <f t="shared" si="9"/>
        <v>1.9000000000000001</v>
      </c>
    </row>
    <row r="37" spans="2:25" ht="29.25" customHeight="1">
      <c r="B37" s="213" t="s">
        <v>50</v>
      </c>
      <c r="C37" s="215">
        <v>3</v>
      </c>
      <c r="D37" s="206">
        <v>2</v>
      </c>
      <c r="E37" s="206"/>
      <c r="F37" s="206">
        <v>2</v>
      </c>
      <c r="G37" s="206">
        <v>2.2000000000000002</v>
      </c>
      <c r="H37" s="206">
        <v>2</v>
      </c>
      <c r="I37" s="206">
        <v>2</v>
      </c>
      <c r="J37" s="206">
        <v>3</v>
      </c>
      <c r="K37" s="206">
        <v>1</v>
      </c>
      <c r="L37" s="207">
        <v>2</v>
      </c>
      <c r="M37" s="189"/>
      <c r="N37" s="304">
        <v>2.6</v>
      </c>
      <c r="O37" s="197" t="s">
        <v>50</v>
      </c>
      <c r="P37" s="241">
        <f t="shared" si="0"/>
        <v>2.6</v>
      </c>
      <c r="Q37" s="242">
        <f t="shared" si="1"/>
        <v>1.7333333333333334</v>
      </c>
      <c r="R37" s="242">
        <f t="shared" si="2"/>
        <v>0</v>
      </c>
      <c r="S37" s="242">
        <f t="shared" si="3"/>
        <v>1.7333333333333334</v>
      </c>
      <c r="T37" s="242">
        <f t="shared" si="4"/>
        <v>1.906666666666667</v>
      </c>
      <c r="U37" s="242">
        <f t="shared" si="5"/>
        <v>1.7333333333333334</v>
      </c>
      <c r="V37" s="242">
        <f t="shared" si="6"/>
        <v>1.7333333333333334</v>
      </c>
      <c r="W37" s="242">
        <f t="shared" si="7"/>
        <v>2.6</v>
      </c>
      <c r="X37" s="242">
        <f t="shared" si="8"/>
        <v>0.8666666666666667</v>
      </c>
      <c r="Y37" s="243">
        <f t="shared" si="9"/>
        <v>1.7333333333333334</v>
      </c>
    </row>
    <row r="38" spans="2:25" ht="29.25" customHeight="1">
      <c r="B38" s="213" t="s">
        <v>51</v>
      </c>
      <c r="C38" s="208">
        <v>3</v>
      </c>
      <c r="D38" s="209">
        <v>3</v>
      </c>
      <c r="E38" s="209">
        <v>3</v>
      </c>
      <c r="F38" s="209">
        <v>2.8</v>
      </c>
      <c r="G38" s="218">
        <v>1.3333333333333333</v>
      </c>
      <c r="H38" s="209">
        <v>1.4</v>
      </c>
      <c r="I38" s="209">
        <v>2.4</v>
      </c>
      <c r="J38" s="209">
        <v>2</v>
      </c>
      <c r="K38" s="209">
        <v>1</v>
      </c>
      <c r="L38" s="211">
        <v>2</v>
      </c>
      <c r="M38" s="189"/>
      <c r="N38" s="304">
        <v>2.7</v>
      </c>
      <c r="O38" s="197" t="s">
        <v>51</v>
      </c>
      <c r="P38" s="241">
        <f t="shared" si="0"/>
        <v>2.7000000000000006</v>
      </c>
      <c r="Q38" s="242">
        <f t="shared" si="1"/>
        <v>2.7000000000000006</v>
      </c>
      <c r="R38" s="242">
        <f t="shared" si="2"/>
        <v>2.7000000000000006</v>
      </c>
      <c r="S38" s="242">
        <f t="shared" si="3"/>
        <v>2.52</v>
      </c>
      <c r="T38" s="242">
        <f t="shared" si="4"/>
        <v>1.2</v>
      </c>
      <c r="U38" s="242">
        <f t="shared" si="5"/>
        <v>1.26</v>
      </c>
      <c r="V38" s="242">
        <f t="shared" si="6"/>
        <v>2.16</v>
      </c>
      <c r="W38" s="242">
        <f t="shared" si="7"/>
        <v>1.8</v>
      </c>
      <c r="X38" s="242">
        <f t="shared" si="8"/>
        <v>0.9</v>
      </c>
      <c r="Y38" s="243">
        <f t="shared" si="9"/>
        <v>1.8</v>
      </c>
    </row>
    <row r="39" spans="2:25" ht="29.25" customHeight="1">
      <c r="B39" s="213" t="s">
        <v>52</v>
      </c>
      <c r="C39" s="208">
        <v>2.8</v>
      </c>
      <c r="D39" s="209">
        <v>2.4</v>
      </c>
      <c r="E39" s="218">
        <v>1.3333333333333333</v>
      </c>
      <c r="F39" s="209">
        <v>2</v>
      </c>
      <c r="G39" s="209">
        <v>2.75</v>
      </c>
      <c r="H39" s="209">
        <v>2</v>
      </c>
      <c r="I39" s="209">
        <v>2.2000000000000002</v>
      </c>
      <c r="J39" s="209">
        <v>2</v>
      </c>
      <c r="K39" s="209"/>
      <c r="L39" s="211">
        <v>2</v>
      </c>
      <c r="M39" s="189"/>
      <c r="N39" s="304">
        <v>3</v>
      </c>
      <c r="O39" s="197" t="s">
        <v>52</v>
      </c>
      <c r="P39" s="241">
        <f t="shared" si="0"/>
        <v>2.7999999999999994</v>
      </c>
      <c r="Q39" s="242">
        <f t="shared" si="1"/>
        <v>2.4</v>
      </c>
      <c r="R39" s="242">
        <f t="shared" si="2"/>
        <v>1.3333333333333333</v>
      </c>
      <c r="S39" s="242">
        <f t="shared" si="3"/>
        <v>2</v>
      </c>
      <c r="T39" s="242">
        <f t="shared" si="4"/>
        <v>2.75</v>
      </c>
      <c r="U39" s="242">
        <f t="shared" si="5"/>
        <v>2</v>
      </c>
      <c r="V39" s="242">
        <f t="shared" si="6"/>
        <v>2.2000000000000002</v>
      </c>
      <c r="W39" s="242">
        <f t="shared" si="7"/>
        <v>2</v>
      </c>
      <c r="X39" s="242">
        <f t="shared" si="8"/>
        <v>0</v>
      </c>
      <c r="Y39" s="243">
        <f t="shared" si="9"/>
        <v>2</v>
      </c>
    </row>
    <row r="40" spans="2:25" ht="29.25" customHeight="1" thickBot="1">
      <c r="B40" s="219" t="s">
        <v>53</v>
      </c>
      <c r="C40" s="220">
        <v>2.2000000000000002</v>
      </c>
      <c r="D40" s="221">
        <v>2.4</v>
      </c>
      <c r="E40" s="221">
        <v>2.1428571428571428</v>
      </c>
      <c r="F40" s="222">
        <v>2.8</v>
      </c>
      <c r="G40" s="221">
        <v>2.4285714285714284</v>
      </c>
      <c r="H40" s="221">
        <v>2.1428571428571428</v>
      </c>
      <c r="I40" s="223">
        <v>2.875</v>
      </c>
      <c r="J40" s="221">
        <v>2.125</v>
      </c>
      <c r="K40" s="222">
        <v>2</v>
      </c>
      <c r="L40" s="224">
        <v>1</v>
      </c>
      <c r="M40" s="189"/>
      <c r="N40" s="305">
        <v>3</v>
      </c>
      <c r="O40" s="253" t="s">
        <v>53</v>
      </c>
      <c r="P40" s="246">
        <f t="shared" si="0"/>
        <v>2.2000000000000002</v>
      </c>
      <c r="Q40" s="247">
        <f t="shared" si="1"/>
        <v>2.4</v>
      </c>
      <c r="R40" s="247">
        <f t="shared" si="2"/>
        <v>2.1428571428571428</v>
      </c>
      <c r="S40" s="247">
        <f t="shared" si="3"/>
        <v>2.7999999999999994</v>
      </c>
      <c r="T40" s="247">
        <f t="shared" si="4"/>
        <v>2.4285714285714284</v>
      </c>
      <c r="U40" s="247">
        <f t="shared" si="5"/>
        <v>2.1428571428571428</v>
      </c>
      <c r="V40" s="247">
        <f t="shared" si="6"/>
        <v>2.875</v>
      </c>
      <c r="W40" s="247">
        <f t="shared" si="7"/>
        <v>2.125</v>
      </c>
      <c r="X40" s="247">
        <f t="shared" si="8"/>
        <v>2</v>
      </c>
      <c r="Y40" s="248">
        <f t="shared" si="9"/>
        <v>1</v>
      </c>
    </row>
    <row r="41" spans="2:25" ht="29.25" customHeight="1" thickBot="1">
      <c r="B41" s="274" t="s">
        <v>15</v>
      </c>
      <c r="C41" s="275">
        <f>AVERAGE(C4:C40)</f>
        <v>2.7783783783783784</v>
      </c>
      <c r="D41" s="275">
        <f t="shared" ref="D41:L41" si="10">AVERAGE(D4:D40)</f>
        <v>2.2184684684684681</v>
      </c>
      <c r="E41" s="275">
        <f t="shared" si="10"/>
        <v>2.1602474323062557</v>
      </c>
      <c r="F41" s="275">
        <f t="shared" si="10"/>
        <v>2.2683333333333331</v>
      </c>
      <c r="G41" s="275">
        <f t="shared" si="10"/>
        <v>1.8278011204481797</v>
      </c>
      <c r="H41" s="275">
        <f t="shared" si="10"/>
        <v>1.8871572871572873</v>
      </c>
      <c r="I41" s="275">
        <f t="shared" si="10"/>
        <v>2.4762870012870013</v>
      </c>
      <c r="J41" s="275">
        <f t="shared" si="10"/>
        <v>2.2653318903318902</v>
      </c>
      <c r="K41" s="275">
        <f t="shared" si="10"/>
        <v>1.3786458333333333</v>
      </c>
      <c r="L41" s="276">
        <f t="shared" si="10"/>
        <v>1.963235294117647</v>
      </c>
      <c r="M41" s="189"/>
      <c r="N41" s="368" t="s">
        <v>15</v>
      </c>
      <c r="O41" s="369"/>
      <c r="P41" s="259">
        <f>AVERAGE(P4:P40)</f>
        <v>2.3837267267267261</v>
      </c>
      <c r="Q41" s="260">
        <f t="shared" ref="Q41:Y41" si="11">AVERAGE(Q4:Q40)</f>
        <v>1.9189609609609612</v>
      </c>
      <c r="R41" s="260">
        <v>1.76</v>
      </c>
      <c r="S41" s="260">
        <f t="shared" si="11"/>
        <v>1.8545195195195197</v>
      </c>
      <c r="T41" s="260">
        <f t="shared" si="11"/>
        <v>1.4616655941655943</v>
      </c>
      <c r="U41" s="260">
        <v>1.47</v>
      </c>
      <c r="V41" s="260">
        <v>2.16</v>
      </c>
      <c r="W41" s="260">
        <f t="shared" si="11"/>
        <v>1.7580272415272415</v>
      </c>
      <c r="X41" s="260">
        <f t="shared" si="11"/>
        <v>1.0213573573573576</v>
      </c>
      <c r="Y41" s="261">
        <f t="shared" si="11"/>
        <v>1.559186186186186</v>
      </c>
    </row>
    <row r="42" spans="2:25" ht="29.25" customHeight="1">
      <c r="B42" s="359" t="s">
        <v>155</v>
      </c>
      <c r="C42" s="360"/>
      <c r="D42" s="360"/>
      <c r="E42" s="360"/>
      <c r="F42" s="360"/>
      <c r="G42" s="360"/>
      <c r="H42" s="360"/>
      <c r="I42" s="360"/>
      <c r="J42" s="360"/>
      <c r="K42" s="360"/>
      <c r="L42" s="361"/>
      <c r="M42" s="189"/>
      <c r="N42" s="370" t="s">
        <v>16</v>
      </c>
      <c r="O42" s="371"/>
      <c r="P42" s="262">
        <v>2.3837267267267261</v>
      </c>
      <c r="Q42" s="263">
        <v>1.9189609609609612</v>
      </c>
      <c r="R42" s="263">
        <v>1.76</v>
      </c>
      <c r="S42" s="263">
        <v>1.8545195195195197</v>
      </c>
      <c r="T42" s="263">
        <v>1.4616655941655943</v>
      </c>
      <c r="U42" s="263">
        <v>1.47</v>
      </c>
      <c r="V42" s="263">
        <v>2.16</v>
      </c>
      <c r="W42" s="263">
        <v>1.7580272415272415</v>
      </c>
      <c r="X42" s="263">
        <v>1.0213573573573576</v>
      </c>
      <c r="Y42" s="264">
        <v>1.559186186186186</v>
      </c>
    </row>
    <row r="43" spans="2:25" ht="29.25" customHeight="1">
      <c r="B43" s="362"/>
      <c r="C43" s="363"/>
      <c r="D43" s="363"/>
      <c r="E43" s="363"/>
      <c r="F43" s="363"/>
      <c r="G43" s="363"/>
      <c r="H43" s="363"/>
      <c r="I43" s="363"/>
      <c r="J43" s="363"/>
      <c r="K43" s="363"/>
      <c r="L43" s="364"/>
      <c r="M43" s="189"/>
      <c r="N43" s="370" t="s">
        <v>17</v>
      </c>
      <c r="O43" s="371"/>
      <c r="P43" s="262">
        <f>P41*80%</f>
        <v>1.906981381381381</v>
      </c>
      <c r="Q43" s="263">
        <f t="shared" ref="Q43:Y43" si="12">Q41*80%</f>
        <v>1.5351687687687692</v>
      </c>
      <c r="R43" s="263">
        <f t="shared" si="12"/>
        <v>1.4080000000000001</v>
      </c>
      <c r="S43" s="263">
        <f t="shared" si="12"/>
        <v>1.4836156156156157</v>
      </c>
      <c r="T43" s="263">
        <f t="shared" si="12"/>
        <v>1.1693324753324754</v>
      </c>
      <c r="U43" s="263">
        <f t="shared" si="12"/>
        <v>1.1759999999999999</v>
      </c>
      <c r="V43" s="263">
        <f t="shared" si="12"/>
        <v>1.7280000000000002</v>
      </c>
      <c r="W43" s="263">
        <f t="shared" si="12"/>
        <v>1.4064217932217933</v>
      </c>
      <c r="X43" s="263">
        <f t="shared" si="12"/>
        <v>0.81708588588588604</v>
      </c>
      <c r="Y43" s="264">
        <f t="shared" si="12"/>
        <v>1.2473489489489489</v>
      </c>
    </row>
    <row r="44" spans="2:25" ht="29.25" customHeight="1">
      <c r="B44" s="362"/>
      <c r="C44" s="363"/>
      <c r="D44" s="363"/>
      <c r="E44" s="363"/>
      <c r="F44" s="363"/>
      <c r="G44" s="363"/>
      <c r="H44" s="363"/>
      <c r="I44" s="363"/>
      <c r="J44" s="363"/>
      <c r="K44" s="363"/>
      <c r="L44" s="364"/>
      <c r="M44" s="189"/>
      <c r="N44" s="370"/>
      <c r="O44" s="371"/>
      <c r="P44" s="265"/>
      <c r="Q44" s="266"/>
      <c r="R44" s="266"/>
      <c r="S44" s="266"/>
      <c r="T44" s="266"/>
      <c r="U44" s="266"/>
      <c r="V44" s="266"/>
      <c r="W44" s="266"/>
      <c r="X44" s="266"/>
      <c r="Y44" s="267"/>
    </row>
    <row r="45" spans="2:25" ht="29.25" customHeight="1">
      <c r="B45" s="362"/>
      <c r="C45" s="363"/>
      <c r="D45" s="363"/>
      <c r="E45" s="363"/>
      <c r="F45" s="363"/>
      <c r="G45" s="363"/>
      <c r="H45" s="363"/>
      <c r="I45" s="363"/>
      <c r="J45" s="363"/>
      <c r="K45" s="363"/>
      <c r="L45" s="364"/>
      <c r="M45" s="189"/>
      <c r="N45" s="370" t="s">
        <v>18</v>
      </c>
      <c r="O45" s="371"/>
      <c r="P45" s="268">
        <v>2.78</v>
      </c>
      <c r="Q45" s="269">
        <v>3</v>
      </c>
      <c r="R45" s="269">
        <v>2.92</v>
      </c>
      <c r="S45" s="269">
        <v>3</v>
      </c>
      <c r="T45" s="269">
        <v>3</v>
      </c>
      <c r="U45" s="269">
        <v>3</v>
      </c>
      <c r="V45" s="269">
        <v>2.89</v>
      </c>
      <c r="W45" s="269">
        <v>3</v>
      </c>
      <c r="X45" s="269">
        <v>3</v>
      </c>
      <c r="Y45" s="270">
        <v>3</v>
      </c>
    </row>
    <row r="46" spans="2:25" ht="29.25" customHeight="1">
      <c r="B46" s="362"/>
      <c r="C46" s="363"/>
      <c r="D46" s="363"/>
      <c r="E46" s="363"/>
      <c r="F46" s="363"/>
      <c r="G46" s="363"/>
      <c r="H46" s="363"/>
      <c r="I46" s="363"/>
      <c r="J46" s="363"/>
      <c r="K46" s="363"/>
      <c r="L46" s="364"/>
      <c r="M46" s="189"/>
      <c r="N46" s="370"/>
      <c r="O46" s="371"/>
      <c r="P46" s="265"/>
      <c r="Q46" s="266"/>
      <c r="R46" s="266"/>
      <c r="S46" s="266"/>
      <c r="T46" s="266"/>
      <c r="U46" s="266"/>
      <c r="V46" s="266"/>
      <c r="W46" s="266"/>
      <c r="X46" s="266"/>
      <c r="Y46" s="267"/>
    </row>
    <row r="47" spans="2:25" ht="29.25" customHeight="1">
      <c r="B47" s="362"/>
      <c r="C47" s="363"/>
      <c r="D47" s="363"/>
      <c r="E47" s="363"/>
      <c r="F47" s="363"/>
      <c r="G47" s="363"/>
      <c r="H47" s="363"/>
      <c r="I47" s="363"/>
      <c r="J47" s="363"/>
      <c r="K47" s="363"/>
      <c r="L47" s="364"/>
      <c r="M47" s="189"/>
      <c r="N47" s="370" t="s">
        <v>19</v>
      </c>
      <c r="O47" s="371"/>
      <c r="P47" s="262">
        <f>P45*20%</f>
        <v>0.55599999999999994</v>
      </c>
      <c r="Q47" s="263">
        <f t="shared" ref="Q47:Y47" si="13">Q45*20%</f>
        <v>0.60000000000000009</v>
      </c>
      <c r="R47" s="263">
        <f t="shared" si="13"/>
        <v>0.58399999999999996</v>
      </c>
      <c r="S47" s="263">
        <f t="shared" si="13"/>
        <v>0.60000000000000009</v>
      </c>
      <c r="T47" s="263">
        <f t="shared" si="13"/>
        <v>0.60000000000000009</v>
      </c>
      <c r="U47" s="263">
        <f t="shared" si="13"/>
        <v>0.60000000000000009</v>
      </c>
      <c r="V47" s="263">
        <f t="shared" si="13"/>
        <v>0.57800000000000007</v>
      </c>
      <c r="W47" s="263">
        <f t="shared" si="13"/>
        <v>0.60000000000000009</v>
      </c>
      <c r="X47" s="263">
        <f t="shared" si="13"/>
        <v>0.60000000000000009</v>
      </c>
      <c r="Y47" s="264">
        <f t="shared" si="13"/>
        <v>0.60000000000000009</v>
      </c>
    </row>
    <row r="48" spans="2:25" ht="29.25" customHeight="1">
      <c r="B48" s="362"/>
      <c r="C48" s="363"/>
      <c r="D48" s="363"/>
      <c r="E48" s="363"/>
      <c r="F48" s="363"/>
      <c r="G48" s="363"/>
      <c r="H48" s="363"/>
      <c r="I48" s="363"/>
      <c r="J48" s="363"/>
      <c r="K48" s="363"/>
      <c r="L48" s="364"/>
      <c r="M48" s="189"/>
      <c r="N48" s="370"/>
      <c r="O48" s="371"/>
      <c r="P48" s="265"/>
      <c r="Q48" s="266"/>
      <c r="R48" s="266"/>
      <c r="S48" s="266"/>
      <c r="T48" s="266"/>
      <c r="U48" s="266"/>
      <c r="V48" s="266"/>
      <c r="W48" s="266"/>
      <c r="X48" s="266"/>
      <c r="Y48" s="267"/>
    </row>
    <row r="49" spans="2:25" ht="29.25" customHeight="1" thickBot="1">
      <c r="B49" s="365"/>
      <c r="C49" s="366"/>
      <c r="D49" s="366"/>
      <c r="E49" s="366"/>
      <c r="F49" s="366"/>
      <c r="G49" s="366"/>
      <c r="H49" s="366"/>
      <c r="I49" s="366"/>
      <c r="J49" s="366"/>
      <c r="K49" s="366"/>
      <c r="L49" s="367"/>
      <c r="M49" s="190"/>
      <c r="N49" s="372" t="s">
        <v>20</v>
      </c>
      <c r="O49" s="373"/>
      <c r="P49" s="271">
        <f>SUM(P43+P47)</f>
        <v>2.4629813813813808</v>
      </c>
      <c r="Q49" s="272">
        <f t="shared" ref="Q49:Y49" si="14">SUM(Q43+Q47)</f>
        <v>2.1351687687687693</v>
      </c>
      <c r="R49" s="272">
        <f t="shared" si="14"/>
        <v>1.992</v>
      </c>
      <c r="S49" s="272">
        <f t="shared" si="14"/>
        <v>2.0836156156156158</v>
      </c>
      <c r="T49" s="272">
        <f t="shared" si="14"/>
        <v>1.7693324753324755</v>
      </c>
      <c r="U49" s="272">
        <f t="shared" si="14"/>
        <v>1.776</v>
      </c>
      <c r="V49" s="272">
        <f t="shared" si="14"/>
        <v>2.306</v>
      </c>
      <c r="W49" s="272">
        <f t="shared" si="14"/>
        <v>2.0064217932217936</v>
      </c>
      <c r="X49" s="272">
        <f t="shared" si="14"/>
        <v>1.4170858858858861</v>
      </c>
      <c r="Y49" s="273">
        <f t="shared" si="14"/>
        <v>1.847348948948949</v>
      </c>
    </row>
  </sheetData>
  <mergeCells count="13">
    <mergeCell ref="B1:L2"/>
    <mergeCell ref="N1:Y1"/>
    <mergeCell ref="N2:Y2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B42:L49"/>
  </mergeCells>
  <printOptions horizontalCentered="1" verticalCentered="1"/>
  <pageMargins left="0.51181102362204722" right="0.51181102362204722" top="0.27559055118110237" bottom="0.27559055118110237" header="0.31496062992125984" footer="0.31496062992125984"/>
  <pageSetup paperSize="9" scale="38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49"/>
  <sheetViews>
    <sheetView topLeftCell="D25" zoomScale="70" zoomScaleNormal="70" workbookViewId="0">
      <selection activeCell="N55" sqref="N55"/>
    </sheetView>
  </sheetViews>
  <sheetFormatPr defaultRowHeight="15.75"/>
  <cols>
    <col min="1" max="1" width="9.140625" style="4"/>
    <col min="2" max="2" width="29.7109375" style="1" bestFit="1" customWidth="1"/>
    <col min="3" max="8" width="9.140625" style="4"/>
    <col min="9" max="9" width="10.140625" style="4" customWidth="1"/>
    <col min="10" max="12" width="12.5703125" style="4" bestFit="1" customWidth="1"/>
    <col min="13" max="13" width="2.5703125" style="4" customWidth="1"/>
    <col min="14" max="14" width="22.85546875" style="10" bestFit="1" customWidth="1"/>
    <col min="15" max="15" width="30.42578125" style="5" customWidth="1"/>
    <col min="16" max="21" width="9.140625" style="4"/>
    <col min="22" max="22" width="10.140625" style="4" customWidth="1"/>
    <col min="23" max="25" width="12.5703125" style="4" bestFit="1" customWidth="1"/>
    <col min="26" max="16384" width="9.140625" style="4"/>
  </cols>
  <sheetData>
    <row r="1" spans="2:25" s="5" customFormat="1" ht="30.75" customHeight="1">
      <c r="B1" s="374" t="s">
        <v>152</v>
      </c>
      <c r="C1" s="375"/>
      <c r="D1" s="375"/>
      <c r="E1" s="375"/>
      <c r="F1" s="375"/>
      <c r="G1" s="375"/>
      <c r="H1" s="375"/>
      <c r="I1" s="375"/>
      <c r="J1" s="375"/>
      <c r="K1" s="375"/>
      <c r="L1" s="376"/>
      <c r="M1" s="187"/>
      <c r="N1" s="380" t="s">
        <v>153</v>
      </c>
      <c r="O1" s="380"/>
      <c r="P1" s="380"/>
      <c r="Q1" s="380"/>
      <c r="R1" s="380"/>
      <c r="S1" s="380"/>
      <c r="T1" s="380"/>
      <c r="U1" s="380"/>
      <c r="V1" s="380"/>
      <c r="W1" s="380"/>
      <c r="X1" s="380"/>
      <c r="Y1" s="380"/>
    </row>
    <row r="2" spans="2:25" s="5" customFormat="1" ht="30.75" customHeight="1" thickBot="1">
      <c r="B2" s="377"/>
      <c r="C2" s="378"/>
      <c r="D2" s="378"/>
      <c r="E2" s="378"/>
      <c r="F2" s="378"/>
      <c r="G2" s="378"/>
      <c r="H2" s="378"/>
      <c r="I2" s="378"/>
      <c r="J2" s="378"/>
      <c r="K2" s="378"/>
      <c r="L2" s="379"/>
      <c r="M2" s="188"/>
      <c r="N2" s="381" t="s">
        <v>154</v>
      </c>
      <c r="O2" s="382"/>
      <c r="P2" s="382"/>
      <c r="Q2" s="382"/>
      <c r="R2" s="382"/>
      <c r="S2" s="382"/>
      <c r="T2" s="382"/>
      <c r="U2" s="382"/>
      <c r="V2" s="382"/>
      <c r="W2" s="382"/>
      <c r="X2" s="382"/>
      <c r="Y2" s="383"/>
    </row>
    <row r="3" spans="2:25" s="251" customFormat="1" ht="44.25" customHeight="1" thickBot="1">
      <c r="B3" s="252" t="s">
        <v>151</v>
      </c>
      <c r="C3" s="252" t="s">
        <v>0</v>
      </c>
      <c r="D3" s="252" t="s">
        <v>1</v>
      </c>
      <c r="E3" s="252" t="s">
        <v>2</v>
      </c>
      <c r="F3" s="252" t="s">
        <v>3</v>
      </c>
      <c r="G3" s="252" t="s">
        <v>4</v>
      </c>
      <c r="H3" s="252" t="s">
        <v>5</v>
      </c>
      <c r="I3" s="252" t="s">
        <v>6</v>
      </c>
      <c r="J3" s="252" t="s">
        <v>7</v>
      </c>
      <c r="K3" s="252" t="s">
        <v>8</v>
      </c>
      <c r="L3" s="252" t="s">
        <v>9</v>
      </c>
      <c r="M3" s="252"/>
      <c r="N3" s="252" t="s">
        <v>10</v>
      </c>
      <c r="O3" s="252" t="s">
        <v>151</v>
      </c>
      <c r="P3" s="252" t="s">
        <v>0</v>
      </c>
      <c r="Q3" s="252" t="s">
        <v>1</v>
      </c>
      <c r="R3" s="252" t="s">
        <v>2</v>
      </c>
      <c r="S3" s="252" t="s">
        <v>3</v>
      </c>
      <c r="T3" s="252" t="s">
        <v>4</v>
      </c>
      <c r="U3" s="252" t="s">
        <v>5</v>
      </c>
      <c r="V3" s="252" t="s">
        <v>6</v>
      </c>
      <c r="W3" s="252" t="s">
        <v>7</v>
      </c>
      <c r="X3" s="252" t="s">
        <v>8</v>
      </c>
      <c r="Y3" s="252" t="s">
        <v>9</v>
      </c>
    </row>
    <row r="4" spans="2:25" ht="24.75" customHeight="1">
      <c r="B4" s="199" t="s">
        <v>11</v>
      </c>
      <c r="C4" s="200">
        <v>3</v>
      </c>
      <c r="D4" s="201">
        <v>2</v>
      </c>
      <c r="E4" s="201"/>
      <c r="F4" s="201"/>
      <c r="G4" s="201"/>
      <c r="H4" s="201"/>
      <c r="I4" s="202">
        <v>2.4</v>
      </c>
      <c r="J4" s="201">
        <v>2</v>
      </c>
      <c r="K4" s="201">
        <v>1</v>
      </c>
      <c r="L4" s="203">
        <v>2</v>
      </c>
      <c r="N4" s="302">
        <v>2.4</v>
      </c>
      <c r="O4" s="236" t="s">
        <v>11</v>
      </c>
      <c r="P4" s="237">
        <f t="shared" ref="P4:P40" si="0">(C4*N4)/3</f>
        <v>2.4</v>
      </c>
      <c r="Q4" s="238">
        <f t="shared" ref="Q4:Q40" si="1">(D4*N4)/3</f>
        <v>1.5999999999999999</v>
      </c>
      <c r="R4" s="238">
        <f t="shared" ref="R4:R40" si="2">(E4*N4)/3</f>
        <v>0</v>
      </c>
      <c r="S4" s="238">
        <f t="shared" ref="S4:S40" si="3">(F4*N4)/3</f>
        <v>0</v>
      </c>
      <c r="T4" s="238">
        <f t="shared" ref="T4:T40" si="4">(G4*N4)/3</f>
        <v>0</v>
      </c>
      <c r="U4" s="238">
        <f t="shared" ref="U4:U40" si="5">(H4*N4)/3</f>
        <v>0</v>
      </c>
      <c r="V4" s="238">
        <f t="shared" ref="V4:V40" si="6">(I4*N4)/3</f>
        <v>1.92</v>
      </c>
      <c r="W4" s="238">
        <f t="shared" ref="W4:W40" si="7">(J4*N4)/3</f>
        <v>1.5999999999999999</v>
      </c>
      <c r="X4" s="238">
        <f t="shared" ref="X4:X40" si="8">(K4*N4)/3</f>
        <v>0.79999999999999993</v>
      </c>
      <c r="Y4" s="239">
        <f t="shared" ref="Y4:Y40" si="9">(L4*N4)/3</f>
        <v>1.5999999999999999</v>
      </c>
    </row>
    <row r="5" spans="2:25" ht="24.75" customHeight="1">
      <c r="B5" s="204" t="s">
        <v>12</v>
      </c>
      <c r="C5" s="205">
        <v>2.8333333333333335</v>
      </c>
      <c r="D5" s="206">
        <v>2</v>
      </c>
      <c r="E5" s="206">
        <v>2.5</v>
      </c>
      <c r="F5" s="206"/>
      <c r="G5" s="206"/>
      <c r="H5" s="206"/>
      <c r="I5" s="206">
        <v>2</v>
      </c>
      <c r="J5" s="206"/>
      <c r="K5" s="206"/>
      <c r="L5" s="207"/>
      <c r="N5" s="303">
        <v>2.5299999999999998</v>
      </c>
      <c r="O5" s="240" t="s">
        <v>12</v>
      </c>
      <c r="P5" s="241">
        <f t="shared" si="0"/>
        <v>2.3894444444444445</v>
      </c>
      <c r="Q5" s="242">
        <f t="shared" si="1"/>
        <v>1.6866666666666665</v>
      </c>
      <c r="R5" s="242">
        <f t="shared" si="2"/>
        <v>2.1083333333333329</v>
      </c>
      <c r="S5" s="242">
        <f t="shared" si="3"/>
        <v>0</v>
      </c>
      <c r="T5" s="242">
        <f t="shared" si="4"/>
        <v>0</v>
      </c>
      <c r="U5" s="242">
        <f t="shared" si="5"/>
        <v>0</v>
      </c>
      <c r="V5" s="242">
        <f t="shared" si="6"/>
        <v>1.6866666666666665</v>
      </c>
      <c r="W5" s="242">
        <f t="shared" si="7"/>
        <v>0</v>
      </c>
      <c r="X5" s="242">
        <f t="shared" si="8"/>
        <v>0</v>
      </c>
      <c r="Y5" s="243">
        <f t="shared" si="9"/>
        <v>0</v>
      </c>
    </row>
    <row r="6" spans="2:25" ht="24.75" customHeight="1">
      <c r="B6" s="204" t="s">
        <v>13</v>
      </c>
      <c r="C6" s="208">
        <v>3</v>
      </c>
      <c r="D6" s="209">
        <v>2</v>
      </c>
      <c r="E6" s="209">
        <v>1.5</v>
      </c>
      <c r="F6" s="209">
        <v>2</v>
      </c>
      <c r="G6" s="210">
        <v>1.6666666666666667</v>
      </c>
      <c r="H6" s="209">
        <v>1</v>
      </c>
      <c r="I6" s="210">
        <v>2.3333333333333335</v>
      </c>
      <c r="J6" s="209">
        <v>2.4</v>
      </c>
      <c r="K6" s="209">
        <v>2</v>
      </c>
      <c r="L6" s="211">
        <v>2</v>
      </c>
      <c r="N6" s="303">
        <v>1.67</v>
      </c>
      <c r="O6" s="240" t="s">
        <v>13</v>
      </c>
      <c r="P6" s="241">
        <f t="shared" si="0"/>
        <v>1.67</v>
      </c>
      <c r="Q6" s="242">
        <f t="shared" si="1"/>
        <v>1.1133333333333333</v>
      </c>
      <c r="R6" s="242">
        <f t="shared" si="2"/>
        <v>0.83499999999999996</v>
      </c>
      <c r="S6" s="242">
        <f t="shared" si="3"/>
        <v>1.1133333333333333</v>
      </c>
      <c r="T6" s="242">
        <f t="shared" si="4"/>
        <v>0.9277777777777777</v>
      </c>
      <c r="U6" s="242">
        <f t="shared" si="5"/>
        <v>0.55666666666666664</v>
      </c>
      <c r="V6" s="242">
        <f t="shared" si="6"/>
        <v>1.298888888888889</v>
      </c>
      <c r="W6" s="242">
        <f t="shared" si="7"/>
        <v>1.3360000000000001</v>
      </c>
      <c r="X6" s="242">
        <f t="shared" si="8"/>
        <v>1.1133333333333333</v>
      </c>
      <c r="Y6" s="243">
        <f t="shared" si="9"/>
        <v>1.1133333333333333</v>
      </c>
    </row>
    <row r="7" spans="2:25" ht="24.75" customHeight="1">
      <c r="B7" s="204" t="s">
        <v>14</v>
      </c>
      <c r="C7" s="208">
        <v>3</v>
      </c>
      <c r="D7" s="209">
        <v>2</v>
      </c>
      <c r="E7" s="209">
        <v>2</v>
      </c>
      <c r="F7" s="209">
        <v>2.5</v>
      </c>
      <c r="G7" s="209">
        <v>1.5</v>
      </c>
      <c r="H7" s="209">
        <v>1</v>
      </c>
      <c r="I7" s="209">
        <v>3</v>
      </c>
      <c r="J7" s="209">
        <v>2</v>
      </c>
      <c r="K7" s="209">
        <v>1</v>
      </c>
      <c r="L7" s="211">
        <v>2</v>
      </c>
      <c r="N7" s="303">
        <v>3</v>
      </c>
      <c r="O7" s="240" t="s">
        <v>14</v>
      </c>
      <c r="P7" s="241">
        <f t="shared" si="0"/>
        <v>3</v>
      </c>
      <c r="Q7" s="242">
        <f t="shared" si="1"/>
        <v>2</v>
      </c>
      <c r="R7" s="242">
        <f t="shared" si="2"/>
        <v>2</v>
      </c>
      <c r="S7" s="242">
        <f t="shared" si="3"/>
        <v>2.5</v>
      </c>
      <c r="T7" s="242">
        <f t="shared" si="4"/>
        <v>1.5</v>
      </c>
      <c r="U7" s="242">
        <f t="shared" si="5"/>
        <v>1</v>
      </c>
      <c r="V7" s="242">
        <f t="shared" si="6"/>
        <v>3</v>
      </c>
      <c r="W7" s="242">
        <f t="shared" si="7"/>
        <v>2</v>
      </c>
      <c r="X7" s="242">
        <f t="shared" si="8"/>
        <v>1</v>
      </c>
      <c r="Y7" s="243">
        <f t="shared" si="9"/>
        <v>2</v>
      </c>
    </row>
    <row r="8" spans="2:25" ht="24.75" customHeight="1">
      <c r="B8" s="204" t="s">
        <v>54</v>
      </c>
      <c r="C8" s="212">
        <v>2.6666666666666665</v>
      </c>
      <c r="D8" s="210">
        <v>1.6666666666666667</v>
      </c>
      <c r="E8" s="209">
        <v>1</v>
      </c>
      <c r="F8" s="209">
        <v>2</v>
      </c>
      <c r="G8" s="209">
        <v>2.25</v>
      </c>
      <c r="H8" s="209">
        <v>2.2000000000000002</v>
      </c>
      <c r="I8" s="209">
        <v>2.5</v>
      </c>
      <c r="J8" s="209">
        <v>2</v>
      </c>
      <c r="K8" s="209">
        <v>1</v>
      </c>
      <c r="L8" s="211">
        <v>2</v>
      </c>
      <c r="N8" s="303">
        <v>3</v>
      </c>
      <c r="O8" s="240" t="s">
        <v>54</v>
      </c>
      <c r="P8" s="241">
        <f t="shared" si="0"/>
        <v>2.6666666666666665</v>
      </c>
      <c r="Q8" s="242">
        <f t="shared" si="1"/>
        <v>1.6666666666666667</v>
      </c>
      <c r="R8" s="242">
        <f t="shared" si="2"/>
        <v>1</v>
      </c>
      <c r="S8" s="242">
        <f t="shared" si="3"/>
        <v>2</v>
      </c>
      <c r="T8" s="242">
        <f t="shared" si="4"/>
        <v>2.25</v>
      </c>
      <c r="U8" s="242">
        <f t="shared" si="5"/>
        <v>2.2000000000000002</v>
      </c>
      <c r="V8" s="242">
        <f t="shared" si="6"/>
        <v>2.5</v>
      </c>
      <c r="W8" s="242">
        <f t="shared" si="7"/>
        <v>2</v>
      </c>
      <c r="X8" s="242">
        <f t="shared" si="8"/>
        <v>1</v>
      </c>
      <c r="Y8" s="243">
        <f t="shared" si="9"/>
        <v>2</v>
      </c>
    </row>
    <row r="9" spans="2:25" ht="24.75" customHeight="1">
      <c r="B9" s="204" t="s">
        <v>22</v>
      </c>
      <c r="C9" s="208">
        <v>2.4</v>
      </c>
      <c r="D9" s="209">
        <v>2</v>
      </c>
      <c r="E9" s="209">
        <v>2</v>
      </c>
      <c r="F9" s="209">
        <v>2.2000000000000002</v>
      </c>
      <c r="G9" s="209">
        <v>1.6</v>
      </c>
      <c r="H9" s="209">
        <v>1</v>
      </c>
      <c r="I9" s="209">
        <v>3</v>
      </c>
      <c r="J9" s="209">
        <v>2</v>
      </c>
      <c r="K9" s="209">
        <v>1</v>
      </c>
      <c r="L9" s="211">
        <v>2</v>
      </c>
      <c r="N9" s="303">
        <v>3</v>
      </c>
      <c r="O9" s="240" t="s">
        <v>22</v>
      </c>
      <c r="P9" s="241">
        <f t="shared" si="0"/>
        <v>2.4</v>
      </c>
      <c r="Q9" s="242">
        <f t="shared" si="1"/>
        <v>2</v>
      </c>
      <c r="R9" s="242">
        <f t="shared" si="2"/>
        <v>2</v>
      </c>
      <c r="S9" s="242">
        <f t="shared" si="3"/>
        <v>2.2000000000000002</v>
      </c>
      <c r="T9" s="242">
        <f t="shared" si="4"/>
        <v>1.6000000000000003</v>
      </c>
      <c r="U9" s="242">
        <f t="shared" si="5"/>
        <v>1</v>
      </c>
      <c r="V9" s="242">
        <f t="shared" si="6"/>
        <v>3</v>
      </c>
      <c r="W9" s="242">
        <f t="shared" si="7"/>
        <v>2</v>
      </c>
      <c r="X9" s="242">
        <f t="shared" si="8"/>
        <v>1</v>
      </c>
      <c r="Y9" s="243">
        <f t="shared" si="9"/>
        <v>2</v>
      </c>
    </row>
    <row r="10" spans="2:25" ht="24.75" customHeight="1">
      <c r="B10" s="213" t="s">
        <v>23</v>
      </c>
      <c r="C10" s="212">
        <v>3</v>
      </c>
      <c r="D10" s="210">
        <v>1</v>
      </c>
      <c r="E10" s="209">
        <v>1.75</v>
      </c>
      <c r="F10" s="209">
        <v>2</v>
      </c>
      <c r="G10" s="209">
        <v>2</v>
      </c>
      <c r="H10" s="209">
        <v>0</v>
      </c>
      <c r="I10" s="209">
        <v>3</v>
      </c>
      <c r="J10" s="209">
        <v>1.75</v>
      </c>
      <c r="K10" s="209">
        <v>2</v>
      </c>
      <c r="L10" s="214">
        <v>1.1666666666666667</v>
      </c>
      <c r="N10" s="303">
        <v>2.54</v>
      </c>
      <c r="O10" s="244" t="s">
        <v>23</v>
      </c>
      <c r="P10" s="241">
        <f t="shared" si="0"/>
        <v>2.54</v>
      </c>
      <c r="Q10" s="242">
        <f t="shared" si="1"/>
        <v>0.84666666666666668</v>
      </c>
      <c r="R10" s="242">
        <f t="shared" si="2"/>
        <v>1.4816666666666667</v>
      </c>
      <c r="S10" s="242">
        <f t="shared" si="3"/>
        <v>1.6933333333333334</v>
      </c>
      <c r="T10" s="242">
        <f t="shared" si="4"/>
        <v>1.6933333333333334</v>
      </c>
      <c r="U10" s="242">
        <f t="shared" si="5"/>
        <v>0</v>
      </c>
      <c r="V10" s="242">
        <f t="shared" si="6"/>
        <v>2.54</v>
      </c>
      <c r="W10" s="242">
        <f t="shared" si="7"/>
        <v>1.4816666666666667</v>
      </c>
      <c r="X10" s="242">
        <f t="shared" si="8"/>
        <v>1.6933333333333334</v>
      </c>
      <c r="Y10" s="243">
        <f t="shared" si="9"/>
        <v>0.98777777777777775</v>
      </c>
    </row>
    <row r="11" spans="2:25" ht="24.75" customHeight="1">
      <c r="B11" s="213" t="s">
        <v>24</v>
      </c>
      <c r="C11" s="215">
        <v>3</v>
      </c>
      <c r="D11" s="216">
        <v>1.8333333333333333</v>
      </c>
      <c r="E11" s="216">
        <v>2.1666666666666665</v>
      </c>
      <c r="F11" s="206">
        <v>3</v>
      </c>
      <c r="G11" s="206">
        <v>1.8</v>
      </c>
      <c r="H11" s="206">
        <v>2</v>
      </c>
      <c r="I11" s="206">
        <v>3</v>
      </c>
      <c r="J11" s="206"/>
      <c r="K11" s="206">
        <v>3</v>
      </c>
      <c r="L11" s="207">
        <v>2</v>
      </c>
      <c r="N11" s="303">
        <v>1.87</v>
      </c>
      <c r="O11" s="244" t="s">
        <v>24</v>
      </c>
      <c r="P11" s="241">
        <f t="shared" si="0"/>
        <v>1.87</v>
      </c>
      <c r="Q11" s="242">
        <f t="shared" si="1"/>
        <v>1.1427777777777777</v>
      </c>
      <c r="R11" s="242">
        <f t="shared" si="2"/>
        <v>1.3505555555555555</v>
      </c>
      <c r="S11" s="242">
        <f t="shared" si="3"/>
        <v>1.87</v>
      </c>
      <c r="T11" s="242">
        <f t="shared" si="4"/>
        <v>1.1220000000000001</v>
      </c>
      <c r="U11" s="242">
        <f t="shared" si="5"/>
        <v>1.2466666666666668</v>
      </c>
      <c r="V11" s="242">
        <f t="shared" si="6"/>
        <v>1.87</v>
      </c>
      <c r="W11" s="242">
        <f t="shared" si="7"/>
        <v>0</v>
      </c>
      <c r="X11" s="242">
        <f t="shared" si="8"/>
        <v>1.87</v>
      </c>
      <c r="Y11" s="243">
        <f t="shared" si="9"/>
        <v>1.2466666666666668</v>
      </c>
    </row>
    <row r="12" spans="2:25" ht="24.75" customHeight="1">
      <c r="B12" s="213" t="s">
        <v>25</v>
      </c>
      <c r="C12" s="217">
        <v>2.6666666666666665</v>
      </c>
      <c r="D12" s="218">
        <v>1.6666666666666667</v>
      </c>
      <c r="E12" s="209">
        <v>1</v>
      </c>
      <c r="F12" s="209">
        <v>2</v>
      </c>
      <c r="G12" s="209">
        <v>2.25</v>
      </c>
      <c r="H12" s="209">
        <v>2.2000000000000002</v>
      </c>
      <c r="I12" s="209">
        <v>2.5</v>
      </c>
      <c r="J12" s="218">
        <v>1.6666666666666667</v>
      </c>
      <c r="K12" s="209">
        <v>1.5</v>
      </c>
      <c r="L12" s="211">
        <v>1</v>
      </c>
      <c r="N12" s="303">
        <v>2.71</v>
      </c>
      <c r="O12" s="244" t="s">
        <v>25</v>
      </c>
      <c r="P12" s="241">
        <f t="shared" si="0"/>
        <v>2.4088888888888889</v>
      </c>
      <c r="Q12" s="242">
        <f t="shared" si="1"/>
        <v>1.5055555555555555</v>
      </c>
      <c r="R12" s="242">
        <f t="shared" si="2"/>
        <v>0.90333333333333332</v>
      </c>
      <c r="S12" s="242">
        <f t="shared" si="3"/>
        <v>1.8066666666666666</v>
      </c>
      <c r="T12" s="242">
        <f t="shared" si="4"/>
        <v>2.0325000000000002</v>
      </c>
      <c r="U12" s="242">
        <f t="shared" si="5"/>
        <v>1.9873333333333336</v>
      </c>
      <c r="V12" s="242">
        <f t="shared" si="6"/>
        <v>2.2583333333333333</v>
      </c>
      <c r="W12" s="242">
        <f t="shared" si="7"/>
        <v>1.5055555555555555</v>
      </c>
      <c r="X12" s="242">
        <f t="shared" si="8"/>
        <v>1.3549999999999998</v>
      </c>
      <c r="Y12" s="243">
        <f t="shared" si="9"/>
        <v>0.90333333333333332</v>
      </c>
    </row>
    <row r="13" spans="2:25" ht="24.75" customHeight="1">
      <c r="B13" s="213" t="s">
        <v>26</v>
      </c>
      <c r="C13" s="208">
        <v>3</v>
      </c>
      <c r="D13" s="209">
        <v>3</v>
      </c>
      <c r="E13" s="209">
        <v>2.4</v>
      </c>
      <c r="F13" s="209">
        <v>2</v>
      </c>
      <c r="G13" s="209">
        <v>1.4</v>
      </c>
      <c r="H13" s="209">
        <v>2</v>
      </c>
      <c r="I13" s="209">
        <v>2.2000000000000002</v>
      </c>
      <c r="J13" s="209">
        <v>2</v>
      </c>
      <c r="K13" s="209">
        <v>1</v>
      </c>
      <c r="L13" s="211">
        <v>2</v>
      </c>
      <c r="N13" s="303">
        <v>1.95</v>
      </c>
      <c r="O13" s="244" t="s">
        <v>26</v>
      </c>
      <c r="P13" s="241">
        <f t="shared" si="0"/>
        <v>1.95</v>
      </c>
      <c r="Q13" s="242">
        <f t="shared" si="1"/>
        <v>1.95</v>
      </c>
      <c r="R13" s="242">
        <f t="shared" si="2"/>
        <v>1.5599999999999998</v>
      </c>
      <c r="S13" s="242">
        <f t="shared" si="3"/>
        <v>1.3</v>
      </c>
      <c r="T13" s="242">
        <f t="shared" si="4"/>
        <v>0.91</v>
      </c>
      <c r="U13" s="242">
        <f t="shared" si="5"/>
        <v>1.3</v>
      </c>
      <c r="V13" s="242">
        <f t="shared" si="6"/>
        <v>1.43</v>
      </c>
      <c r="W13" s="242">
        <f t="shared" si="7"/>
        <v>1.3</v>
      </c>
      <c r="X13" s="242">
        <f t="shared" si="8"/>
        <v>0.65</v>
      </c>
      <c r="Y13" s="243">
        <f t="shared" si="9"/>
        <v>1.3</v>
      </c>
    </row>
    <row r="14" spans="2:25" ht="24.75" customHeight="1">
      <c r="B14" s="213" t="s">
        <v>27</v>
      </c>
      <c r="C14" s="208">
        <v>1</v>
      </c>
      <c r="D14" s="209">
        <v>2</v>
      </c>
      <c r="E14" s="209">
        <v>1</v>
      </c>
      <c r="F14" s="209">
        <v>2</v>
      </c>
      <c r="G14" s="209"/>
      <c r="H14" s="209">
        <v>3</v>
      </c>
      <c r="I14" s="209">
        <v>2</v>
      </c>
      <c r="J14" s="209">
        <v>1</v>
      </c>
      <c r="K14" s="209">
        <v>1</v>
      </c>
      <c r="L14" s="211"/>
      <c r="N14" s="303">
        <v>3</v>
      </c>
      <c r="O14" s="244" t="s">
        <v>27</v>
      </c>
      <c r="P14" s="241">
        <f t="shared" si="0"/>
        <v>1</v>
      </c>
      <c r="Q14" s="242">
        <f t="shared" si="1"/>
        <v>2</v>
      </c>
      <c r="R14" s="242">
        <f t="shared" si="2"/>
        <v>1</v>
      </c>
      <c r="S14" s="242">
        <f t="shared" si="3"/>
        <v>2</v>
      </c>
      <c r="T14" s="242">
        <f t="shared" si="4"/>
        <v>0</v>
      </c>
      <c r="U14" s="242">
        <f t="shared" si="5"/>
        <v>3</v>
      </c>
      <c r="V14" s="242">
        <f t="shared" si="6"/>
        <v>2</v>
      </c>
      <c r="W14" s="242">
        <f t="shared" si="7"/>
        <v>1</v>
      </c>
      <c r="X14" s="242">
        <f t="shared" si="8"/>
        <v>1</v>
      </c>
      <c r="Y14" s="243">
        <f t="shared" si="9"/>
        <v>0</v>
      </c>
    </row>
    <row r="15" spans="2:25" ht="24.75" customHeight="1">
      <c r="B15" s="213" t="s">
        <v>28</v>
      </c>
      <c r="C15" s="208">
        <v>3</v>
      </c>
      <c r="D15" s="218">
        <v>2.3333333333333335</v>
      </c>
      <c r="E15" s="218">
        <v>1.75</v>
      </c>
      <c r="F15" s="218">
        <v>2.1666666666666665</v>
      </c>
      <c r="G15" s="218">
        <v>2</v>
      </c>
      <c r="H15" s="209">
        <v>2</v>
      </c>
      <c r="I15" s="209">
        <v>2</v>
      </c>
      <c r="J15" s="209">
        <v>3</v>
      </c>
      <c r="K15" s="209">
        <v>3</v>
      </c>
      <c r="L15" s="211">
        <v>2</v>
      </c>
      <c r="N15" s="303">
        <v>3</v>
      </c>
      <c r="O15" s="244" t="s">
        <v>28</v>
      </c>
      <c r="P15" s="241">
        <f t="shared" si="0"/>
        <v>3</v>
      </c>
      <c r="Q15" s="242">
        <f t="shared" si="1"/>
        <v>2.3333333333333335</v>
      </c>
      <c r="R15" s="242">
        <f t="shared" si="2"/>
        <v>1.75</v>
      </c>
      <c r="S15" s="242">
        <f t="shared" si="3"/>
        <v>2.1666666666666665</v>
      </c>
      <c r="T15" s="242">
        <f t="shared" si="4"/>
        <v>2</v>
      </c>
      <c r="U15" s="242">
        <f t="shared" si="5"/>
        <v>2</v>
      </c>
      <c r="V15" s="242">
        <f t="shared" si="6"/>
        <v>2</v>
      </c>
      <c r="W15" s="242">
        <f t="shared" si="7"/>
        <v>3</v>
      </c>
      <c r="X15" s="242">
        <f t="shared" si="8"/>
        <v>3</v>
      </c>
      <c r="Y15" s="243">
        <f t="shared" si="9"/>
        <v>2</v>
      </c>
    </row>
    <row r="16" spans="2:25" ht="24.75" customHeight="1">
      <c r="B16" s="213" t="s">
        <v>29</v>
      </c>
      <c r="C16" s="208">
        <v>3</v>
      </c>
      <c r="D16" s="218">
        <v>1.3333333333333333</v>
      </c>
      <c r="E16" s="218">
        <v>2.1666666666666665</v>
      </c>
      <c r="F16" s="209">
        <v>2</v>
      </c>
      <c r="G16" s="218">
        <v>1.6666666666666667</v>
      </c>
      <c r="H16" s="209">
        <v>1.5</v>
      </c>
      <c r="I16" s="209">
        <v>3</v>
      </c>
      <c r="J16" s="218">
        <v>2.1666666666666665</v>
      </c>
      <c r="K16" s="218">
        <v>1.1666666666666667</v>
      </c>
      <c r="L16" s="214">
        <v>2.3333333333333335</v>
      </c>
      <c r="N16" s="304">
        <v>3</v>
      </c>
      <c r="O16" s="244" t="s">
        <v>29</v>
      </c>
      <c r="P16" s="241">
        <f t="shared" si="0"/>
        <v>3</v>
      </c>
      <c r="Q16" s="242">
        <f t="shared" si="1"/>
        <v>1.3333333333333333</v>
      </c>
      <c r="R16" s="242">
        <f t="shared" si="2"/>
        <v>2.1666666666666665</v>
      </c>
      <c r="S16" s="242">
        <f t="shared" si="3"/>
        <v>2</v>
      </c>
      <c r="T16" s="242">
        <f t="shared" si="4"/>
        <v>1.6666666666666667</v>
      </c>
      <c r="U16" s="242">
        <f t="shared" si="5"/>
        <v>1.5</v>
      </c>
      <c r="V16" s="242">
        <f t="shared" si="6"/>
        <v>3</v>
      </c>
      <c r="W16" s="242">
        <f t="shared" si="7"/>
        <v>2.1666666666666665</v>
      </c>
      <c r="X16" s="242">
        <f t="shared" si="8"/>
        <v>1.1666666666666667</v>
      </c>
      <c r="Y16" s="243">
        <f t="shared" si="9"/>
        <v>2.3333333333333335</v>
      </c>
    </row>
    <row r="17" spans="2:25" ht="24.75" customHeight="1">
      <c r="B17" s="213" t="s">
        <v>30</v>
      </c>
      <c r="C17" s="208">
        <v>3</v>
      </c>
      <c r="D17" s="209">
        <v>2</v>
      </c>
      <c r="E17" s="209">
        <v>2.2000000000000002</v>
      </c>
      <c r="F17" s="209">
        <v>2</v>
      </c>
      <c r="G17" s="209">
        <v>1</v>
      </c>
      <c r="H17" s="209">
        <v>1.6</v>
      </c>
      <c r="I17" s="209">
        <v>2</v>
      </c>
      <c r="J17" s="209">
        <v>2</v>
      </c>
      <c r="K17" s="209">
        <v>1</v>
      </c>
      <c r="L17" s="211">
        <v>2.4</v>
      </c>
      <c r="N17" s="306">
        <v>1.95</v>
      </c>
      <c r="O17" s="244" t="s">
        <v>30</v>
      </c>
      <c r="P17" s="241">
        <f t="shared" si="0"/>
        <v>1.95</v>
      </c>
      <c r="Q17" s="242">
        <f t="shared" si="1"/>
        <v>1.3</v>
      </c>
      <c r="R17" s="242">
        <f t="shared" si="2"/>
        <v>1.43</v>
      </c>
      <c r="S17" s="242">
        <f t="shared" si="3"/>
        <v>1.3</v>
      </c>
      <c r="T17" s="242">
        <f t="shared" si="4"/>
        <v>0.65</v>
      </c>
      <c r="U17" s="242">
        <f t="shared" si="5"/>
        <v>1.04</v>
      </c>
      <c r="V17" s="242">
        <f t="shared" si="6"/>
        <v>1.3</v>
      </c>
      <c r="W17" s="242">
        <f t="shared" si="7"/>
        <v>1.3</v>
      </c>
      <c r="X17" s="242">
        <f t="shared" si="8"/>
        <v>0.65</v>
      </c>
      <c r="Y17" s="243">
        <f t="shared" si="9"/>
        <v>1.5599999999999998</v>
      </c>
    </row>
    <row r="18" spans="2:25" ht="24.75" customHeight="1">
      <c r="B18" s="213" t="s">
        <v>31</v>
      </c>
      <c r="C18" s="208">
        <v>3</v>
      </c>
      <c r="D18" s="209">
        <v>2.8</v>
      </c>
      <c r="E18" s="209">
        <v>3</v>
      </c>
      <c r="F18" s="209">
        <v>2</v>
      </c>
      <c r="G18" s="209">
        <v>1</v>
      </c>
      <c r="H18" s="209">
        <v>1.8</v>
      </c>
      <c r="I18" s="209">
        <v>2.6</v>
      </c>
      <c r="J18" s="209">
        <v>2</v>
      </c>
      <c r="K18" s="209">
        <v>1</v>
      </c>
      <c r="L18" s="211">
        <v>2</v>
      </c>
      <c r="N18" s="306">
        <v>3</v>
      </c>
      <c r="O18" s="244" t="s">
        <v>31</v>
      </c>
      <c r="P18" s="241">
        <f t="shared" si="0"/>
        <v>3</v>
      </c>
      <c r="Q18" s="242">
        <f t="shared" si="1"/>
        <v>2.7999999999999994</v>
      </c>
      <c r="R18" s="242">
        <f t="shared" si="2"/>
        <v>3</v>
      </c>
      <c r="S18" s="242">
        <f t="shared" si="3"/>
        <v>2</v>
      </c>
      <c r="T18" s="242">
        <f t="shared" si="4"/>
        <v>1</v>
      </c>
      <c r="U18" s="242">
        <f t="shared" si="5"/>
        <v>1.8</v>
      </c>
      <c r="V18" s="242">
        <f t="shared" si="6"/>
        <v>2.6</v>
      </c>
      <c r="W18" s="242">
        <f t="shared" si="7"/>
        <v>2</v>
      </c>
      <c r="X18" s="242">
        <f t="shared" si="8"/>
        <v>1</v>
      </c>
      <c r="Y18" s="243">
        <f t="shared" si="9"/>
        <v>2</v>
      </c>
    </row>
    <row r="19" spans="2:25" ht="24.75" customHeight="1">
      <c r="B19" s="213" t="s">
        <v>32</v>
      </c>
      <c r="C19" s="217">
        <v>2.6666666666666665</v>
      </c>
      <c r="D19" s="218">
        <v>2</v>
      </c>
      <c r="E19" s="218">
        <v>2</v>
      </c>
      <c r="F19" s="218">
        <v>2.2000000000000002</v>
      </c>
      <c r="G19" s="218">
        <v>3</v>
      </c>
      <c r="H19" s="218">
        <v>2.3333333333333335</v>
      </c>
      <c r="I19" s="218">
        <v>2</v>
      </c>
      <c r="J19" s="218">
        <v>2.3333333333333335</v>
      </c>
      <c r="K19" s="218"/>
      <c r="L19" s="214">
        <v>2</v>
      </c>
      <c r="N19" s="304">
        <v>2.95</v>
      </c>
      <c r="O19" s="244" t="s">
        <v>32</v>
      </c>
      <c r="P19" s="241">
        <f t="shared" si="0"/>
        <v>2.6222222222222222</v>
      </c>
      <c r="Q19" s="242">
        <f t="shared" si="1"/>
        <v>1.9666666666666668</v>
      </c>
      <c r="R19" s="242">
        <f t="shared" si="2"/>
        <v>1.9666666666666668</v>
      </c>
      <c r="S19" s="242">
        <f t="shared" si="3"/>
        <v>2.1633333333333336</v>
      </c>
      <c r="T19" s="242">
        <f t="shared" si="4"/>
        <v>2.9500000000000006</v>
      </c>
      <c r="U19" s="242">
        <f t="shared" si="5"/>
        <v>2.2944444444444447</v>
      </c>
      <c r="V19" s="242">
        <f t="shared" si="6"/>
        <v>1.9666666666666668</v>
      </c>
      <c r="W19" s="242">
        <f t="shared" si="7"/>
        <v>2.2944444444444447</v>
      </c>
      <c r="X19" s="242">
        <f t="shared" si="8"/>
        <v>0</v>
      </c>
      <c r="Y19" s="243">
        <f t="shared" si="9"/>
        <v>1.9666666666666668</v>
      </c>
    </row>
    <row r="20" spans="2:25" ht="24.75" customHeight="1">
      <c r="B20" s="213" t="s">
        <v>33</v>
      </c>
      <c r="C20" s="208">
        <v>3</v>
      </c>
      <c r="D20" s="209">
        <v>2.4</v>
      </c>
      <c r="E20" s="209">
        <v>3</v>
      </c>
      <c r="F20" s="209">
        <v>2</v>
      </c>
      <c r="G20" s="209">
        <v>2.5</v>
      </c>
      <c r="H20" s="209">
        <v>2</v>
      </c>
      <c r="I20" s="209">
        <v>2</v>
      </c>
      <c r="J20" s="209">
        <v>2</v>
      </c>
      <c r="K20" s="209">
        <v>1</v>
      </c>
      <c r="L20" s="211">
        <v>2.2000000000000002</v>
      </c>
      <c r="N20" s="306">
        <v>2.85</v>
      </c>
      <c r="O20" s="244" t="s">
        <v>33</v>
      </c>
      <c r="P20" s="241">
        <f t="shared" si="0"/>
        <v>2.85</v>
      </c>
      <c r="Q20" s="242">
        <f t="shared" si="1"/>
        <v>2.2799999999999998</v>
      </c>
      <c r="R20" s="242">
        <f t="shared" si="2"/>
        <v>2.85</v>
      </c>
      <c r="S20" s="242">
        <f t="shared" si="3"/>
        <v>1.9000000000000001</v>
      </c>
      <c r="T20" s="242">
        <f t="shared" si="4"/>
        <v>2.375</v>
      </c>
      <c r="U20" s="242">
        <f t="shared" si="5"/>
        <v>1.9000000000000001</v>
      </c>
      <c r="V20" s="242">
        <f t="shared" si="6"/>
        <v>1.9000000000000001</v>
      </c>
      <c r="W20" s="242">
        <f t="shared" si="7"/>
        <v>1.9000000000000001</v>
      </c>
      <c r="X20" s="242">
        <f t="shared" si="8"/>
        <v>0.95000000000000007</v>
      </c>
      <c r="Y20" s="243">
        <f t="shared" si="9"/>
        <v>2.0900000000000003</v>
      </c>
    </row>
    <row r="21" spans="2:25" ht="24.75" customHeight="1">
      <c r="B21" s="213" t="s">
        <v>34</v>
      </c>
      <c r="C21" s="208">
        <v>3</v>
      </c>
      <c r="D21" s="209">
        <v>2.4</v>
      </c>
      <c r="E21" s="209">
        <v>2.75</v>
      </c>
      <c r="F21" s="209">
        <v>2.25</v>
      </c>
      <c r="G21" s="209">
        <v>1</v>
      </c>
      <c r="H21" s="209">
        <v>1.75</v>
      </c>
      <c r="I21" s="209">
        <v>2.6</v>
      </c>
      <c r="J21" s="209">
        <v>2.8</v>
      </c>
      <c r="K21" s="209">
        <v>1.2</v>
      </c>
      <c r="L21" s="211">
        <v>2.25</v>
      </c>
      <c r="N21" s="306">
        <v>2.93</v>
      </c>
      <c r="O21" s="244" t="s">
        <v>34</v>
      </c>
      <c r="P21" s="241">
        <f t="shared" si="0"/>
        <v>2.93</v>
      </c>
      <c r="Q21" s="242">
        <f t="shared" si="1"/>
        <v>2.3439999999999999</v>
      </c>
      <c r="R21" s="242">
        <f t="shared" si="2"/>
        <v>2.6858333333333335</v>
      </c>
      <c r="S21" s="242">
        <f t="shared" si="3"/>
        <v>2.1975000000000002</v>
      </c>
      <c r="T21" s="242">
        <f t="shared" si="4"/>
        <v>0.97666666666666668</v>
      </c>
      <c r="U21" s="242">
        <f t="shared" si="5"/>
        <v>1.7091666666666667</v>
      </c>
      <c r="V21" s="242">
        <f t="shared" si="6"/>
        <v>2.5393333333333334</v>
      </c>
      <c r="W21" s="242">
        <f t="shared" si="7"/>
        <v>2.734666666666667</v>
      </c>
      <c r="X21" s="242">
        <f t="shared" si="8"/>
        <v>1.1719999999999999</v>
      </c>
      <c r="Y21" s="243">
        <f t="shared" si="9"/>
        <v>2.1975000000000002</v>
      </c>
    </row>
    <row r="22" spans="2:25" ht="24.75" customHeight="1">
      <c r="B22" s="213" t="s">
        <v>35</v>
      </c>
      <c r="C22" s="208">
        <v>3</v>
      </c>
      <c r="D22" s="209">
        <v>3</v>
      </c>
      <c r="E22" s="209">
        <v>3</v>
      </c>
      <c r="F22" s="209">
        <v>2.2000000000000002</v>
      </c>
      <c r="G22" s="209">
        <v>1</v>
      </c>
      <c r="H22" s="209">
        <v>2</v>
      </c>
      <c r="I22" s="209">
        <v>2.8</v>
      </c>
      <c r="J22" s="209">
        <v>3</v>
      </c>
      <c r="K22" s="209">
        <v>1</v>
      </c>
      <c r="L22" s="211">
        <v>2</v>
      </c>
      <c r="N22" s="306">
        <v>2.75</v>
      </c>
      <c r="O22" s="244" t="s">
        <v>35</v>
      </c>
      <c r="P22" s="241">
        <f t="shared" si="0"/>
        <v>2.75</v>
      </c>
      <c r="Q22" s="242">
        <f t="shared" si="1"/>
        <v>2.75</v>
      </c>
      <c r="R22" s="242">
        <f t="shared" si="2"/>
        <v>2.75</v>
      </c>
      <c r="S22" s="242">
        <f t="shared" si="3"/>
        <v>2.0166666666666671</v>
      </c>
      <c r="T22" s="242">
        <f t="shared" si="4"/>
        <v>0.91666666666666663</v>
      </c>
      <c r="U22" s="242">
        <f t="shared" si="5"/>
        <v>1.8333333333333333</v>
      </c>
      <c r="V22" s="242">
        <f t="shared" si="6"/>
        <v>2.5666666666666664</v>
      </c>
      <c r="W22" s="242">
        <f t="shared" si="7"/>
        <v>2.75</v>
      </c>
      <c r="X22" s="242">
        <f t="shared" si="8"/>
        <v>0.91666666666666663</v>
      </c>
      <c r="Y22" s="243">
        <f t="shared" si="9"/>
        <v>1.8333333333333333</v>
      </c>
    </row>
    <row r="23" spans="2:25" ht="24.75" customHeight="1">
      <c r="B23" s="213" t="s">
        <v>36</v>
      </c>
      <c r="C23" s="208">
        <v>3</v>
      </c>
      <c r="D23" s="209">
        <v>3</v>
      </c>
      <c r="E23" s="218">
        <v>1.6666666666666667</v>
      </c>
      <c r="F23" s="209">
        <v>2.2000000000000002</v>
      </c>
      <c r="G23" s="209">
        <v>2.2000000000000002</v>
      </c>
      <c r="H23" s="209">
        <v>2.4</v>
      </c>
      <c r="I23" s="209">
        <v>2.4</v>
      </c>
      <c r="J23" s="209">
        <v>2</v>
      </c>
      <c r="K23" s="209">
        <v>1</v>
      </c>
      <c r="L23" s="211">
        <v>2</v>
      </c>
      <c r="N23" s="306">
        <v>2.9</v>
      </c>
      <c r="O23" s="244" t="s">
        <v>36</v>
      </c>
      <c r="P23" s="241">
        <f t="shared" si="0"/>
        <v>2.9</v>
      </c>
      <c r="Q23" s="242">
        <f t="shared" si="1"/>
        <v>2.9</v>
      </c>
      <c r="R23" s="242">
        <f t="shared" si="2"/>
        <v>1.6111111111111109</v>
      </c>
      <c r="S23" s="242">
        <f t="shared" si="3"/>
        <v>2.1266666666666665</v>
      </c>
      <c r="T23" s="242">
        <f t="shared" si="4"/>
        <v>2.1266666666666665</v>
      </c>
      <c r="U23" s="242">
        <f t="shared" si="5"/>
        <v>2.3199999999999998</v>
      </c>
      <c r="V23" s="242">
        <f t="shared" si="6"/>
        <v>2.3199999999999998</v>
      </c>
      <c r="W23" s="242">
        <f t="shared" si="7"/>
        <v>1.9333333333333333</v>
      </c>
      <c r="X23" s="242">
        <f t="shared" si="8"/>
        <v>0.96666666666666667</v>
      </c>
      <c r="Y23" s="243">
        <f t="shared" si="9"/>
        <v>1.9333333333333333</v>
      </c>
    </row>
    <row r="24" spans="2:25" ht="24.75" customHeight="1">
      <c r="B24" s="213" t="s">
        <v>37</v>
      </c>
      <c r="C24" s="208">
        <v>3</v>
      </c>
      <c r="D24" s="209">
        <v>2.8</v>
      </c>
      <c r="E24" s="209">
        <v>3</v>
      </c>
      <c r="F24" s="209">
        <v>2.2000000000000002</v>
      </c>
      <c r="G24" s="209">
        <v>2</v>
      </c>
      <c r="H24" s="209">
        <v>2</v>
      </c>
      <c r="I24" s="209">
        <v>3</v>
      </c>
      <c r="J24" s="209">
        <v>3</v>
      </c>
      <c r="K24" s="209">
        <v>1.8</v>
      </c>
      <c r="L24" s="211">
        <v>2</v>
      </c>
      <c r="N24" s="304">
        <v>1.7</v>
      </c>
      <c r="O24" s="244" t="s">
        <v>37</v>
      </c>
      <c r="P24" s="241">
        <f t="shared" si="0"/>
        <v>1.7</v>
      </c>
      <c r="Q24" s="242">
        <f t="shared" si="1"/>
        <v>1.5866666666666667</v>
      </c>
      <c r="R24" s="242">
        <f t="shared" si="2"/>
        <v>1.7</v>
      </c>
      <c r="S24" s="242">
        <f t="shared" si="3"/>
        <v>1.2466666666666668</v>
      </c>
      <c r="T24" s="242">
        <f t="shared" si="4"/>
        <v>1.1333333333333333</v>
      </c>
      <c r="U24" s="242">
        <f t="shared" si="5"/>
        <v>1.1333333333333333</v>
      </c>
      <c r="V24" s="242">
        <f t="shared" si="6"/>
        <v>1.7</v>
      </c>
      <c r="W24" s="242">
        <f t="shared" si="7"/>
        <v>1.7</v>
      </c>
      <c r="X24" s="242">
        <f t="shared" si="8"/>
        <v>1.02</v>
      </c>
      <c r="Y24" s="243">
        <f t="shared" si="9"/>
        <v>1.1333333333333333</v>
      </c>
    </row>
    <row r="25" spans="2:25" ht="24.75" customHeight="1">
      <c r="B25" s="213" t="s">
        <v>38</v>
      </c>
      <c r="C25" s="208">
        <v>3</v>
      </c>
      <c r="D25" s="209">
        <v>2.8</v>
      </c>
      <c r="E25" s="209">
        <v>3</v>
      </c>
      <c r="F25" s="209">
        <v>2.5</v>
      </c>
      <c r="G25" s="209">
        <v>1</v>
      </c>
      <c r="H25" s="218">
        <v>1.6666666666666667</v>
      </c>
      <c r="I25" s="209">
        <v>2.4</v>
      </c>
      <c r="J25" s="209">
        <v>1.8</v>
      </c>
      <c r="K25" s="209">
        <v>1</v>
      </c>
      <c r="L25" s="211">
        <v>2</v>
      </c>
      <c r="N25" s="306">
        <v>1.74</v>
      </c>
      <c r="O25" s="244" t="s">
        <v>38</v>
      </c>
      <c r="P25" s="241">
        <f t="shared" si="0"/>
        <v>1.74</v>
      </c>
      <c r="Q25" s="242">
        <f t="shared" si="1"/>
        <v>1.6239999999999999</v>
      </c>
      <c r="R25" s="242">
        <f t="shared" si="2"/>
        <v>1.74</v>
      </c>
      <c r="S25" s="242">
        <f t="shared" si="3"/>
        <v>1.45</v>
      </c>
      <c r="T25" s="242">
        <f t="shared" si="4"/>
        <v>0.57999999999999996</v>
      </c>
      <c r="U25" s="242">
        <f t="shared" si="5"/>
        <v>0.96666666666666667</v>
      </c>
      <c r="V25" s="242">
        <f t="shared" si="6"/>
        <v>1.3920000000000001</v>
      </c>
      <c r="W25" s="242">
        <f t="shared" si="7"/>
        <v>1.044</v>
      </c>
      <c r="X25" s="242">
        <f t="shared" si="8"/>
        <v>0.57999999999999996</v>
      </c>
      <c r="Y25" s="243">
        <f t="shared" si="9"/>
        <v>1.1599999999999999</v>
      </c>
    </row>
    <row r="26" spans="2:25" ht="24.75" customHeight="1">
      <c r="B26" s="213" t="s">
        <v>39</v>
      </c>
      <c r="C26" s="208">
        <v>3</v>
      </c>
      <c r="D26" s="209">
        <v>2</v>
      </c>
      <c r="E26" s="209">
        <v>2.5</v>
      </c>
      <c r="F26" s="209">
        <v>2.8</v>
      </c>
      <c r="G26" s="209">
        <v>1</v>
      </c>
      <c r="H26" s="209">
        <v>1.4</v>
      </c>
      <c r="I26" s="209">
        <v>2</v>
      </c>
      <c r="J26" s="209">
        <v>3</v>
      </c>
      <c r="K26" s="209">
        <v>1</v>
      </c>
      <c r="L26" s="211">
        <v>2.6</v>
      </c>
      <c r="N26" s="304">
        <v>3</v>
      </c>
      <c r="O26" s="244" t="s">
        <v>39</v>
      </c>
      <c r="P26" s="241">
        <f t="shared" si="0"/>
        <v>3</v>
      </c>
      <c r="Q26" s="242">
        <f t="shared" si="1"/>
        <v>2</v>
      </c>
      <c r="R26" s="242">
        <f t="shared" si="2"/>
        <v>2.5</v>
      </c>
      <c r="S26" s="242">
        <f t="shared" si="3"/>
        <v>2.7999999999999994</v>
      </c>
      <c r="T26" s="242">
        <f t="shared" si="4"/>
        <v>1</v>
      </c>
      <c r="U26" s="242">
        <f t="shared" si="5"/>
        <v>1.3999999999999997</v>
      </c>
      <c r="V26" s="242">
        <f t="shared" si="6"/>
        <v>2</v>
      </c>
      <c r="W26" s="242">
        <f t="shared" si="7"/>
        <v>3</v>
      </c>
      <c r="X26" s="242">
        <f t="shared" si="8"/>
        <v>1</v>
      </c>
      <c r="Y26" s="243">
        <f t="shared" si="9"/>
        <v>2.6</v>
      </c>
    </row>
    <row r="27" spans="2:25" ht="24.75" customHeight="1">
      <c r="B27" s="213" t="s">
        <v>40</v>
      </c>
      <c r="C27" s="208">
        <v>2</v>
      </c>
      <c r="D27" s="209">
        <v>1</v>
      </c>
      <c r="E27" s="209"/>
      <c r="F27" s="209">
        <v>2</v>
      </c>
      <c r="G27" s="209">
        <v>3</v>
      </c>
      <c r="H27" s="209"/>
      <c r="I27" s="209">
        <v>2.2000000000000002</v>
      </c>
      <c r="J27" s="209"/>
      <c r="K27" s="209"/>
      <c r="L27" s="211"/>
      <c r="N27" s="306">
        <v>2.25</v>
      </c>
      <c r="O27" s="244" t="s">
        <v>40</v>
      </c>
      <c r="P27" s="241">
        <f t="shared" si="0"/>
        <v>1.5</v>
      </c>
      <c r="Q27" s="242">
        <f t="shared" si="1"/>
        <v>0.75</v>
      </c>
      <c r="R27" s="242">
        <f t="shared" si="2"/>
        <v>0</v>
      </c>
      <c r="S27" s="242">
        <f t="shared" si="3"/>
        <v>1.5</v>
      </c>
      <c r="T27" s="242">
        <f t="shared" si="4"/>
        <v>2.25</v>
      </c>
      <c r="U27" s="242">
        <f t="shared" si="5"/>
        <v>0</v>
      </c>
      <c r="V27" s="242">
        <f t="shared" si="6"/>
        <v>1.6500000000000001</v>
      </c>
      <c r="W27" s="242">
        <f t="shared" si="7"/>
        <v>0</v>
      </c>
      <c r="X27" s="242">
        <f t="shared" si="8"/>
        <v>0</v>
      </c>
      <c r="Y27" s="243">
        <f t="shared" si="9"/>
        <v>0</v>
      </c>
    </row>
    <row r="28" spans="2:25" ht="24.75" customHeight="1">
      <c r="B28" s="213" t="s">
        <v>41</v>
      </c>
      <c r="C28" s="208">
        <v>3</v>
      </c>
      <c r="D28" s="209">
        <v>2</v>
      </c>
      <c r="E28" s="209">
        <v>2</v>
      </c>
      <c r="F28" s="218">
        <v>2.6666666666666665</v>
      </c>
      <c r="G28" s="209">
        <v>1</v>
      </c>
      <c r="H28" s="209"/>
      <c r="I28" s="209">
        <v>2.2000000000000002</v>
      </c>
      <c r="J28" s="209">
        <v>2.4</v>
      </c>
      <c r="K28" s="209">
        <v>1.6</v>
      </c>
      <c r="L28" s="211">
        <v>1.8</v>
      </c>
      <c r="N28" s="306">
        <v>2.1800000000000002</v>
      </c>
      <c r="O28" s="244" t="s">
        <v>41</v>
      </c>
      <c r="P28" s="241">
        <f t="shared" si="0"/>
        <v>2.1800000000000002</v>
      </c>
      <c r="Q28" s="242">
        <f t="shared" si="1"/>
        <v>1.4533333333333334</v>
      </c>
      <c r="R28" s="242">
        <f t="shared" si="2"/>
        <v>1.4533333333333334</v>
      </c>
      <c r="S28" s="242">
        <f t="shared" si="3"/>
        <v>1.9377777777777778</v>
      </c>
      <c r="T28" s="242">
        <f t="shared" si="4"/>
        <v>0.72666666666666668</v>
      </c>
      <c r="U28" s="242">
        <f t="shared" si="5"/>
        <v>0</v>
      </c>
      <c r="V28" s="242">
        <f t="shared" si="6"/>
        <v>1.5986666666666671</v>
      </c>
      <c r="W28" s="242">
        <f t="shared" si="7"/>
        <v>1.744</v>
      </c>
      <c r="X28" s="242">
        <f t="shared" si="8"/>
        <v>1.1626666666666667</v>
      </c>
      <c r="Y28" s="243">
        <f t="shared" si="9"/>
        <v>1.3080000000000001</v>
      </c>
    </row>
    <row r="29" spans="2:25" ht="24.75" customHeight="1">
      <c r="B29" s="213" t="s">
        <v>42</v>
      </c>
      <c r="C29" s="208">
        <v>3</v>
      </c>
      <c r="D29" s="209">
        <v>2.8</v>
      </c>
      <c r="E29" s="209">
        <v>2.4</v>
      </c>
      <c r="F29" s="209">
        <v>2.8</v>
      </c>
      <c r="G29" s="209">
        <v>1</v>
      </c>
      <c r="H29" s="209">
        <v>2</v>
      </c>
      <c r="I29" s="209">
        <v>3</v>
      </c>
      <c r="J29" s="209">
        <v>3</v>
      </c>
      <c r="K29" s="209">
        <v>1.25</v>
      </c>
      <c r="L29" s="211">
        <v>2</v>
      </c>
      <c r="N29" s="306">
        <v>1.88</v>
      </c>
      <c r="O29" s="244" t="s">
        <v>42</v>
      </c>
      <c r="P29" s="241">
        <f t="shared" si="0"/>
        <v>1.88</v>
      </c>
      <c r="Q29" s="242">
        <f t="shared" si="1"/>
        <v>1.7546666666666664</v>
      </c>
      <c r="R29" s="242">
        <f t="shared" si="2"/>
        <v>1.5039999999999998</v>
      </c>
      <c r="S29" s="242">
        <f t="shared" si="3"/>
        <v>1.7546666666666664</v>
      </c>
      <c r="T29" s="242">
        <f t="shared" si="4"/>
        <v>0.62666666666666659</v>
      </c>
      <c r="U29" s="242">
        <f t="shared" si="5"/>
        <v>1.2533333333333332</v>
      </c>
      <c r="V29" s="242">
        <f t="shared" si="6"/>
        <v>1.88</v>
      </c>
      <c r="W29" s="242">
        <f t="shared" si="7"/>
        <v>1.88</v>
      </c>
      <c r="X29" s="242">
        <f t="shared" si="8"/>
        <v>0.78333333333333321</v>
      </c>
      <c r="Y29" s="243">
        <f t="shared" si="9"/>
        <v>1.2533333333333332</v>
      </c>
    </row>
    <row r="30" spans="2:25" ht="24.75" customHeight="1">
      <c r="B30" s="213" t="s">
        <v>43</v>
      </c>
      <c r="C30" s="208">
        <v>3</v>
      </c>
      <c r="D30" s="209">
        <v>2.4</v>
      </c>
      <c r="E30" s="209">
        <v>2</v>
      </c>
      <c r="F30" s="209">
        <v>2</v>
      </c>
      <c r="G30" s="209">
        <v>1.6</v>
      </c>
      <c r="H30" s="209">
        <v>2.2000000000000002</v>
      </c>
      <c r="I30" s="209">
        <v>2.8</v>
      </c>
      <c r="J30" s="209">
        <v>2</v>
      </c>
      <c r="K30" s="209">
        <v>1</v>
      </c>
      <c r="L30" s="211">
        <v>2</v>
      </c>
      <c r="N30" s="306">
        <v>1.84</v>
      </c>
      <c r="O30" s="244" t="s">
        <v>43</v>
      </c>
      <c r="P30" s="241">
        <f t="shared" si="0"/>
        <v>1.84</v>
      </c>
      <c r="Q30" s="242">
        <f t="shared" si="1"/>
        <v>1.4720000000000002</v>
      </c>
      <c r="R30" s="242">
        <f t="shared" si="2"/>
        <v>1.2266666666666668</v>
      </c>
      <c r="S30" s="242">
        <f t="shared" si="3"/>
        <v>1.2266666666666668</v>
      </c>
      <c r="T30" s="242">
        <f t="shared" si="4"/>
        <v>0.9813333333333335</v>
      </c>
      <c r="U30" s="242">
        <f t="shared" si="5"/>
        <v>1.3493333333333337</v>
      </c>
      <c r="V30" s="242">
        <f t="shared" si="6"/>
        <v>1.7173333333333334</v>
      </c>
      <c r="W30" s="242">
        <f t="shared" si="7"/>
        <v>1.2266666666666668</v>
      </c>
      <c r="X30" s="242">
        <f t="shared" si="8"/>
        <v>0.6133333333333334</v>
      </c>
      <c r="Y30" s="243">
        <f t="shared" si="9"/>
        <v>1.2266666666666668</v>
      </c>
    </row>
    <row r="31" spans="2:25" ht="24.75" customHeight="1">
      <c r="B31" s="213" t="s">
        <v>44</v>
      </c>
      <c r="C31" s="208">
        <v>3</v>
      </c>
      <c r="D31" s="209">
        <v>2.8</v>
      </c>
      <c r="E31" s="209">
        <v>3</v>
      </c>
      <c r="F31" s="209">
        <v>2.8</v>
      </c>
      <c r="G31" s="209">
        <v>1</v>
      </c>
      <c r="H31" s="209">
        <v>2</v>
      </c>
      <c r="I31" s="209">
        <v>2.6</v>
      </c>
      <c r="J31" s="209">
        <v>2.6</v>
      </c>
      <c r="K31" s="209">
        <v>1</v>
      </c>
      <c r="L31" s="211">
        <v>2</v>
      </c>
      <c r="N31" s="306">
        <v>2.93</v>
      </c>
      <c r="O31" s="244" t="s">
        <v>44</v>
      </c>
      <c r="P31" s="241">
        <f t="shared" si="0"/>
        <v>2.93</v>
      </c>
      <c r="Q31" s="242">
        <f t="shared" si="1"/>
        <v>2.734666666666667</v>
      </c>
      <c r="R31" s="242">
        <f t="shared" si="2"/>
        <v>2.93</v>
      </c>
      <c r="S31" s="242">
        <f t="shared" si="3"/>
        <v>2.734666666666667</v>
      </c>
      <c r="T31" s="242">
        <f t="shared" si="4"/>
        <v>0.97666666666666668</v>
      </c>
      <c r="U31" s="242">
        <f t="shared" si="5"/>
        <v>1.9533333333333334</v>
      </c>
      <c r="V31" s="242">
        <f t="shared" si="6"/>
        <v>2.5393333333333334</v>
      </c>
      <c r="W31" s="242">
        <f t="shared" si="7"/>
        <v>2.5393333333333334</v>
      </c>
      <c r="X31" s="242">
        <f t="shared" si="8"/>
        <v>0.97666666666666668</v>
      </c>
      <c r="Y31" s="243">
        <f t="shared" si="9"/>
        <v>1.9533333333333334</v>
      </c>
    </row>
    <row r="32" spans="2:25" ht="24.75" customHeight="1">
      <c r="B32" s="213" t="s">
        <v>45</v>
      </c>
      <c r="C32" s="208">
        <v>2.5</v>
      </c>
      <c r="D32" s="209">
        <v>2.25</v>
      </c>
      <c r="E32" s="209">
        <v>2</v>
      </c>
      <c r="F32" s="218">
        <v>2.3333333333333335</v>
      </c>
      <c r="G32" s="209">
        <v>3</v>
      </c>
      <c r="H32" s="209">
        <v>2.25</v>
      </c>
      <c r="I32" s="209">
        <v>2.5</v>
      </c>
      <c r="J32" s="209">
        <v>2</v>
      </c>
      <c r="K32" s="209">
        <v>2</v>
      </c>
      <c r="L32" s="211">
        <v>2</v>
      </c>
      <c r="N32" s="304">
        <v>3</v>
      </c>
      <c r="O32" s="244" t="s">
        <v>45</v>
      </c>
      <c r="P32" s="241">
        <f t="shared" si="0"/>
        <v>2.5</v>
      </c>
      <c r="Q32" s="242">
        <f t="shared" si="1"/>
        <v>2.25</v>
      </c>
      <c r="R32" s="242">
        <f t="shared" si="2"/>
        <v>2</v>
      </c>
      <c r="S32" s="242">
        <f t="shared" si="3"/>
        <v>2.3333333333333335</v>
      </c>
      <c r="T32" s="242">
        <f t="shared" si="4"/>
        <v>3</v>
      </c>
      <c r="U32" s="242">
        <f t="shared" si="5"/>
        <v>2.25</v>
      </c>
      <c r="V32" s="242">
        <f t="shared" si="6"/>
        <v>2.5</v>
      </c>
      <c r="W32" s="242">
        <f t="shared" si="7"/>
        <v>2</v>
      </c>
      <c r="X32" s="242">
        <f t="shared" si="8"/>
        <v>2</v>
      </c>
      <c r="Y32" s="243">
        <f t="shared" si="9"/>
        <v>2</v>
      </c>
    </row>
    <row r="33" spans="2:25" ht="24.75" customHeight="1">
      <c r="B33" s="213" t="s">
        <v>46</v>
      </c>
      <c r="C33" s="208">
        <v>3</v>
      </c>
      <c r="D33" s="218">
        <v>2.3333333333333335</v>
      </c>
      <c r="E33" s="218">
        <v>2.2222222222222223</v>
      </c>
      <c r="F33" s="218">
        <v>2.375</v>
      </c>
      <c r="G33" s="209">
        <v>2</v>
      </c>
      <c r="H33" s="209">
        <v>3</v>
      </c>
      <c r="I33" s="218">
        <v>2.7142857142857144</v>
      </c>
      <c r="J33" s="218">
        <v>2.7142857142857144</v>
      </c>
      <c r="K33" s="209">
        <v>2.6</v>
      </c>
      <c r="L33" s="211">
        <v>2</v>
      </c>
      <c r="N33" s="304">
        <v>3</v>
      </c>
      <c r="O33" s="244" t="s">
        <v>46</v>
      </c>
      <c r="P33" s="241">
        <f t="shared" si="0"/>
        <v>3</v>
      </c>
      <c r="Q33" s="242">
        <f t="shared" si="1"/>
        <v>2.3333333333333335</v>
      </c>
      <c r="R33" s="242">
        <f t="shared" si="2"/>
        <v>2.2222222222222223</v>
      </c>
      <c r="S33" s="242">
        <f t="shared" si="3"/>
        <v>2.375</v>
      </c>
      <c r="T33" s="242">
        <f t="shared" si="4"/>
        <v>2</v>
      </c>
      <c r="U33" s="242">
        <f t="shared" si="5"/>
        <v>3</v>
      </c>
      <c r="V33" s="242">
        <f t="shared" si="6"/>
        <v>2.714285714285714</v>
      </c>
      <c r="W33" s="242">
        <f t="shared" si="7"/>
        <v>2.714285714285714</v>
      </c>
      <c r="X33" s="242">
        <f t="shared" si="8"/>
        <v>2.6</v>
      </c>
      <c r="Y33" s="243">
        <f t="shared" si="9"/>
        <v>2</v>
      </c>
    </row>
    <row r="34" spans="2:25" ht="24.75" customHeight="1">
      <c r="B34" s="213" t="s">
        <v>47</v>
      </c>
      <c r="C34" s="208">
        <v>1.4</v>
      </c>
      <c r="D34" s="209">
        <v>2</v>
      </c>
      <c r="E34" s="209">
        <v>2</v>
      </c>
      <c r="F34" s="209">
        <v>2</v>
      </c>
      <c r="G34" s="209">
        <v>3</v>
      </c>
      <c r="H34" s="209">
        <v>2.4</v>
      </c>
      <c r="I34" s="209">
        <v>2.4</v>
      </c>
      <c r="J34" s="209"/>
      <c r="K34" s="209"/>
      <c r="L34" s="211">
        <v>2</v>
      </c>
      <c r="N34" s="304">
        <v>1.7</v>
      </c>
      <c r="O34" s="244" t="s">
        <v>47</v>
      </c>
      <c r="P34" s="241">
        <f t="shared" si="0"/>
        <v>0.79333333333333333</v>
      </c>
      <c r="Q34" s="242">
        <f t="shared" si="1"/>
        <v>1.1333333333333333</v>
      </c>
      <c r="R34" s="242">
        <f t="shared" si="2"/>
        <v>1.1333333333333333</v>
      </c>
      <c r="S34" s="242">
        <f t="shared" si="3"/>
        <v>1.1333333333333333</v>
      </c>
      <c r="T34" s="242">
        <f t="shared" si="4"/>
        <v>1.7</v>
      </c>
      <c r="U34" s="242">
        <f t="shared" si="5"/>
        <v>1.36</v>
      </c>
      <c r="V34" s="242">
        <f t="shared" si="6"/>
        <v>1.36</v>
      </c>
      <c r="W34" s="242">
        <f t="shared" si="7"/>
        <v>0</v>
      </c>
      <c r="X34" s="242">
        <f t="shared" si="8"/>
        <v>0</v>
      </c>
      <c r="Y34" s="243">
        <f t="shared" si="9"/>
        <v>1.1333333333333333</v>
      </c>
    </row>
    <row r="35" spans="2:25" ht="24.75" customHeight="1">
      <c r="B35" s="213" t="s">
        <v>48</v>
      </c>
      <c r="C35" s="217">
        <v>2.6666666666666665</v>
      </c>
      <c r="D35" s="218">
        <v>1.6666666666666667</v>
      </c>
      <c r="E35" s="209">
        <v>1</v>
      </c>
      <c r="F35" s="209">
        <v>2</v>
      </c>
      <c r="G35" s="209">
        <v>2</v>
      </c>
      <c r="H35" s="218">
        <v>1.8333333333333333</v>
      </c>
      <c r="I35" s="209">
        <v>2.4</v>
      </c>
      <c r="J35" s="209">
        <v>2</v>
      </c>
      <c r="K35" s="209">
        <v>1</v>
      </c>
      <c r="L35" s="211">
        <v>2</v>
      </c>
      <c r="N35" s="304">
        <v>2.5099999999999998</v>
      </c>
      <c r="O35" s="244" t="s">
        <v>48</v>
      </c>
      <c r="P35" s="241">
        <f t="shared" si="0"/>
        <v>2.2311111111111108</v>
      </c>
      <c r="Q35" s="242">
        <f t="shared" si="1"/>
        <v>1.3944444444444446</v>
      </c>
      <c r="R35" s="242">
        <f t="shared" si="2"/>
        <v>0.83666666666666656</v>
      </c>
      <c r="S35" s="242">
        <f t="shared" si="3"/>
        <v>1.6733333333333331</v>
      </c>
      <c r="T35" s="242">
        <f t="shared" si="4"/>
        <v>1.6733333333333331</v>
      </c>
      <c r="U35" s="242">
        <f t="shared" si="5"/>
        <v>1.5338888888888886</v>
      </c>
      <c r="V35" s="242">
        <f t="shared" si="6"/>
        <v>2.0079999999999996</v>
      </c>
      <c r="W35" s="242">
        <f t="shared" si="7"/>
        <v>1.6733333333333331</v>
      </c>
      <c r="X35" s="242">
        <f t="shared" si="8"/>
        <v>0.83666666666666656</v>
      </c>
      <c r="Y35" s="243">
        <f t="shared" si="9"/>
        <v>1.6733333333333331</v>
      </c>
    </row>
    <row r="36" spans="2:25" ht="24.75" customHeight="1">
      <c r="B36" s="213" t="s">
        <v>49</v>
      </c>
      <c r="C36" s="208">
        <v>3</v>
      </c>
      <c r="D36" s="209">
        <v>3</v>
      </c>
      <c r="E36" s="209">
        <v>3</v>
      </c>
      <c r="F36" s="209">
        <v>2.6</v>
      </c>
      <c r="G36" s="209">
        <v>2</v>
      </c>
      <c r="H36" s="209">
        <v>2.2000000000000002</v>
      </c>
      <c r="I36" s="209">
        <v>2.6</v>
      </c>
      <c r="J36" s="209">
        <v>3</v>
      </c>
      <c r="K36" s="209">
        <v>1</v>
      </c>
      <c r="L36" s="211">
        <v>2</v>
      </c>
      <c r="N36" s="304">
        <v>2.92</v>
      </c>
      <c r="O36" s="244" t="s">
        <v>49</v>
      </c>
      <c r="P36" s="241">
        <f t="shared" si="0"/>
        <v>2.92</v>
      </c>
      <c r="Q36" s="242">
        <f t="shared" si="1"/>
        <v>2.92</v>
      </c>
      <c r="R36" s="242">
        <f t="shared" si="2"/>
        <v>2.92</v>
      </c>
      <c r="S36" s="242">
        <f t="shared" si="3"/>
        <v>2.5306666666666664</v>
      </c>
      <c r="T36" s="242">
        <f t="shared" si="4"/>
        <v>1.9466666666666665</v>
      </c>
      <c r="U36" s="242">
        <f t="shared" si="5"/>
        <v>2.1413333333333333</v>
      </c>
      <c r="V36" s="242">
        <f t="shared" si="6"/>
        <v>2.5306666666666664</v>
      </c>
      <c r="W36" s="242">
        <f t="shared" si="7"/>
        <v>2.92</v>
      </c>
      <c r="X36" s="242">
        <f t="shared" si="8"/>
        <v>0.97333333333333327</v>
      </c>
      <c r="Y36" s="243">
        <f t="shared" si="9"/>
        <v>1.9466666666666665</v>
      </c>
    </row>
    <row r="37" spans="2:25" ht="24.75" customHeight="1">
      <c r="B37" s="213" t="s">
        <v>50</v>
      </c>
      <c r="C37" s="215">
        <v>3</v>
      </c>
      <c r="D37" s="206">
        <v>2</v>
      </c>
      <c r="E37" s="206"/>
      <c r="F37" s="206">
        <v>2</v>
      </c>
      <c r="G37" s="206">
        <v>2.2000000000000002</v>
      </c>
      <c r="H37" s="206">
        <v>2</v>
      </c>
      <c r="I37" s="206">
        <v>2</v>
      </c>
      <c r="J37" s="206">
        <v>3</v>
      </c>
      <c r="K37" s="206">
        <v>1</v>
      </c>
      <c r="L37" s="207">
        <v>2</v>
      </c>
      <c r="N37" s="304">
        <v>2.58</v>
      </c>
      <c r="O37" s="244" t="s">
        <v>50</v>
      </c>
      <c r="P37" s="241">
        <f t="shared" si="0"/>
        <v>2.58</v>
      </c>
      <c r="Q37" s="242">
        <f t="shared" si="1"/>
        <v>1.72</v>
      </c>
      <c r="R37" s="242">
        <f t="shared" si="2"/>
        <v>0</v>
      </c>
      <c r="S37" s="242">
        <f t="shared" si="3"/>
        <v>1.72</v>
      </c>
      <c r="T37" s="242">
        <f t="shared" si="4"/>
        <v>1.8920000000000003</v>
      </c>
      <c r="U37" s="242">
        <f t="shared" si="5"/>
        <v>1.72</v>
      </c>
      <c r="V37" s="242">
        <f t="shared" si="6"/>
        <v>1.72</v>
      </c>
      <c r="W37" s="242">
        <f t="shared" si="7"/>
        <v>2.58</v>
      </c>
      <c r="X37" s="242">
        <f t="shared" si="8"/>
        <v>0.86</v>
      </c>
      <c r="Y37" s="243">
        <f t="shared" si="9"/>
        <v>1.72</v>
      </c>
    </row>
    <row r="38" spans="2:25" ht="24.75" customHeight="1">
      <c r="B38" s="213" t="s">
        <v>51</v>
      </c>
      <c r="C38" s="208">
        <v>3</v>
      </c>
      <c r="D38" s="209">
        <v>3</v>
      </c>
      <c r="E38" s="209">
        <v>3</v>
      </c>
      <c r="F38" s="209">
        <v>2.8</v>
      </c>
      <c r="G38" s="218">
        <v>1.3333333333333333</v>
      </c>
      <c r="H38" s="209">
        <v>1.4</v>
      </c>
      <c r="I38" s="209">
        <v>2.4</v>
      </c>
      <c r="J38" s="209">
        <v>2</v>
      </c>
      <c r="K38" s="209">
        <v>1</v>
      </c>
      <c r="L38" s="211">
        <v>2</v>
      </c>
      <c r="N38" s="304">
        <v>2.33</v>
      </c>
      <c r="O38" s="244" t="s">
        <v>51</v>
      </c>
      <c r="P38" s="241">
        <f t="shared" si="0"/>
        <v>2.33</v>
      </c>
      <c r="Q38" s="242">
        <f t="shared" si="1"/>
        <v>2.33</v>
      </c>
      <c r="R38" s="242">
        <f t="shared" si="2"/>
        <v>2.33</v>
      </c>
      <c r="S38" s="242">
        <f t="shared" si="3"/>
        <v>2.1746666666666665</v>
      </c>
      <c r="T38" s="242">
        <f t="shared" si="4"/>
        <v>1.0355555555555556</v>
      </c>
      <c r="U38" s="242">
        <f t="shared" si="5"/>
        <v>1.0873333333333333</v>
      </c>
      <c r="V38" s="242">
        <f t="shared" si="6"/>
        <v>1.8639999999999999</v>
      </c>
      <c r="W38" s="242">
        <f t="shared" si="7"/>
        <v>1.5533333333333335</v>
      </c>
      <c r="X38" s="242">
        <f t="shared" si="8"/>
        <v>0.77666666666666673</v>
      </c>
      <c r="Y38" s="243">
        <f t="shared" si="9"/>
        <v>1.5533333333333335</v>
      </c>
    </row>
    <row r="39" spans="2:25" ht="24.75" customHeight="1">
      <c r="B39" s="213" t="s">
        <v>52</v>
      </c>
      <c r="C39" s="208">
        <v>2.8</v>
      </c>
      <c r="D39" s="209">
        <v>2.4</v>
      </c>
      <c r="E39" s="218">
        <v>1.3333333333333333</v>
      </c>
      <c r="F39" s="209">
        <v>2</v>
      </c>
      <c r="G39" s="209">
        <v>2.75</v>
      </c>
      <c r="H39" s="209">
        <v>2</v>
      </c>
      <c r="I39" s="209">
        <v>2.2000000000000002</v>
      </c>
      <c r="J39" s="209">
        <v>2</v>
      </c>
      <c r="K39" s="209"/>
      <c r="L39" s="211">
        <v>2</v>
      </c>
      <c r="N39" s="304">
        <v>3</v>
      </c>
      <c r="O39" s="244" t="s">
        <v>52</v>
      </c>
      <c r="P39" s="241">
        <f t="shared" si="0"/>
        <v>2.7999999999999994</v>
      </c>
      <c r="Q39" s="242">
        <f t="shared" si="1"/>
        <v>2.4</v>
      </c>
      <c r="R39" s="242">
        <f t="shared" si="2"/>
        <v>1.3333333333333333</v>
      </c>
      <c r="S39" s="242">
        <f t="shared" si="3"/>
        <v>2</v>
      </c>
      <c r="T39" s="242">
        <f t="shared" si="4"/>
        <v>2.75</v>
      </c>
      <c r="U39" s="242">
        <f t="shared" si="5"/>
        <v>2</v>
      </c>
      <c r="V39" s="242">
        <f t="shared" si="6"/>
        <v>2.2000000000000002</v>
      </c>
      <c r="W39" s="242">
        <f t="shared" si="7"/>
        <v>2</v>
      </c>
      <c r="X39" s="242">
        <f t="shared" si="8"/>
        <v>0</v>
      </c>
      <c r="Y39" s="243">
        <f t="shared" si="9"/>
        <v>2</v>
      </c>
    </row>
    <row r="40" spans="2:25" ht="24.75" customHeight="1" thickBot="1">
      <c r="B40" s="219" t="s">
        <v>53</v>
      </c>
      <c r="C40" s="220">
        <v>2.2000000000000002</v>
      </c>
      <c r="D40" s="221">
        <v>2.4</v>
      </c>
      <c r="E40" s="221">
        <v>2.1428571428571428</v>
      </c>
      <c r="F40" s="222">
        <v>2.8</v>
      </c>
      <c r="G40" s="221">
        <v>2.4285714285714284</v>
      </c>
      <c r="H40" s="221">
        <v>2.1428571428571428</v>
      </c>
      <c r="I40" s="223">
        <v>2.875</v>
      </c>
      <c r="J40" s="221">
        <v>2.125</v>
      </c>
      <c r="K40" s="222">
        <v>2</v>
      </c>
      <c r="L40" s="224">
        <v>1</v>
      </c>
      <c r="N40" s="307">
        <v>3</v>
      </c>
      <c r="O40" s="245" t="s">
        <v>53</v>
      </c>
      <c r="P40" s="246">
        <f t="shared" si="0"/>
        <v>2.2000000000000002</v>
      </c>
      <c r="Q40" s="247">
        <f t="shared" si="1"/>
        <v>2.4</v>
      </c>
      <c r="R40" s="247">
        <f t="shared" si="2"/>
        <v>2.1428571428571428</v>
      </c>
      <c r="S40" s="247">
        <f t="shared" si="3"/>
        <v>2.7999999999999994</v>
      </c>
      <c r="T40" s="247">
        <f t="shared" si="4"/>
        <v>2.4285714285714284</v>
      </c>
      <c r="U40" s="247">
        <f t="shared" si="5"/>
        <v>2.1428571428571428</v>
      </c>
      <c r="V40" s="247">
        <f t="shared" si="6"/>
        <v>2.875</v>
      </c>
      <c r="W40" s="247">
        <f t="shared" si="7"/>
        <v>2.125</v>
      </c>
      <c r="X40" s="247">
        <f t="shared" si="8"/>
        <v>2</v>
      </c>
      <c r="Y40" s="248">
        <f t="shared" si="9"/>
        <v>1</v>
      </c>
    </row>
    <row r="41" spans="2:25" ht="26.25" thickBot="1">
      <c r="B41" s="274" t="s">
        <v>15</v>
      </c>
      <c r="C41" s="275">
        <f>AVERAGE(C4:C40)</f>
        <v>2.7783783783783784</v>
      </c>
      <c r="D41" s="275">
        <f t="shared" ref="D41:L41" si="10">AVERAGE(D4:D40)</f>
        <v>2.2184684684684681</v>
      </c>
      <c r="E41" s="275">
        <f t="shared" si="10"/>
        <v>2.1602474323062557</v>
      </c>
      <c r="F41" s="275">
        <f t="shared" si="10"/>
        <v>2.2683333333333331</v>
      </c>
      <c r="G41" s="275">
        <f t="shared" si="10"/>
        <v>1.8278011204481797</v>
      </c>
      <c r="H41" s="275">
        <f t="shared" si="10"/>
        <v>1.8871572871572873</v>
      </c>
      <c r="I41" s="275">
        <f t="shared" si="10"/>
        <v>2.4762870012870013</v>
      </c>
      <c r="J41" s="275">
        <f t="shared" si="10"/>
        <v>2.2653318903318902</v>
      </c>
      <c r="K41" s="275">
        <f t="shared" si="10"/>
        <v>1.3786458333333333</v>
      </c>
      <c r="L41" s="276">
        <f t="shared" si="10"/>
        <v>1.963235294117647</v>
      </c>
      <c r="N41" s="368" t="s">
        <v>15</v>
      </c>
      <c r="O41" s="369"/>
      <c r="P41" s="259">
        <f>AVERAGE(P4:P40)</f>
        <v>2.3627477477477479</v>
      </c>
      <c r="Q41" s="259">
        <f t="shared" ref="Q41:Y41" si="11">AVERAGE(Q4:Q40)</f>
        <v>1.8858228228228233</v>
      </c>
      <c r="R41" s="259">
        <f t="shared" si="11"/>
        <v>1.6870697125697127</v>
      </c>
      <c r="S41" s="259">
        <f t="shared" si="11"/>
        <v>1.8309444444444445</v>
      </c>
      <c r="T41" s="259">
        <f t="shared" si="11"/>
        <v>1.4431911196911196</v>
      </c>
      <c r="U41" s="259">
        <f t="shared" si="11"/>
        <v>1.4588925353925355</v>
      </c>
      <c r="V41" s="259">
        <f t="shared" si="11"/>
        <v>2.1066443586443588</v>
      </c>
      <c r="W41" s="259">
        <f t="shared" si="11"/>
        <v>1.7568185328185326</v>
      </c>
      <c r="X41" s="259">
        <f t="shared" si="11"/>
        <v>1.013144144144144</v>
      </c>
      <c r="Y41" s="259">
        <f t="shared" si="11"/>
        <v>1.5331516516516512</v>
      </c>
    </row>
    <row r="42" spans="2:25" ht="25.5">
      <c r="B42" s="359" t="s">
        <v>155</v>
      </c>
      <c r="C42" s="360"/>
      <c r="D42" s="360"/>
      <c r="E42" s="360"/>
      <c r="F42" s="360"/>
      <c r="G42" s="360"/>
      <c r="H42" s="360"/>
      <c r="I42" s="360"/>
      <c r="J42" s="360"/>
      <c r="K42" s="360"/>
      <c r="L42" s="361"/>
      <c r="N42" s="370" t="s">
        <v>16</v>
      </c>
      <c r="O42" s="371"/>
      <c r="P42" s="256">
        <v>2.3627477477477479</v>
      </c>
      <c r="Q42" s="256">
        <v>1.8858228228228233</v>
      </c>
      <c r="R42" s="256">
        <v>1.6870697125697127</v>
      </c>
      <c r="S42" s="256">
        <v>1.8309444444444445</v>
      </c>
      <c r="T42" s="256">
        <v>1.4431911196911196</v>
      </c>
      <c r="U42" s="256">
        <v>1.4588925353925355</v>
      </c>
      <c r="V42" s="256">
        <v>2.1066443586443588</v>
      </c>
      <c r="W42" s="256">
        <v>1.7568185328185326</v>
      </c>
      <c r="X42" s="256">
        <v>1.013144144144144</v>
      </c>
      <c r="Y42" s="256">
        <v>1.5331516516516512</v>
      </c>
    </row>
    <row r="43" spans="2:25" ht="25.5">
      <c r="B43" s="362"/>
      <c r="C43" s="363"/>
      <c r="D43" s="363"/>
      <c r="E43" s="363"/>
      <c r="F43" s="363"/>
      <c r="G43" s="363"/>
      <c r="H43" s="363"/>
      <c r="I43" s="363"/>
      <c r="J43" s="363"/>
      <c r="K43" s="363"/>
      <c r="L43" s="364"/>
      <c r="N43" s="370" t="s">
        <v>17</v>
      </c>
      <c r="O43" s="371"/>
      <c r="P43" s="262">
        <f>P41*80%</f>
        <v>1.8901981981981983</v>
      </c>
      <c r="Q43" s="262">
        <f t="shared" ref="Q43:Y43" si="12">Q41*80%</f>
        <v>1.5086582582582588</v>
      </c>
      <c r="R43" s="262">
        <f t="shared" si="12"/>
        <v>1.3496557700557703</v>
      </c>
      <c r="S43" s="262">
        <f t="shared" si="12"/>
        <v>1.4647555555555556</v>
      </c>
      <c r="T43" s="262">
        <f t="shared" si="12"/>
        <v>1.1545528957528957</v>
      </c>
      <c r="U43" s="262">
        <f t="shared" si="12"/>
        <v>1.1671140283140284</v>
      </c>
      <c r="V43" s="262">
        <f t="shared" si="12"/>
        <v>1.6853154869154872</v>
      </c>
      <c r="W43" s="262">
        <f t="shared" si="12"/>
        <v>1.4054548262548261</v>
      </c>
      <c r="X43" s="262">
        <f t="shared" si="12"/>
        <v>0.81051531531531529</v>
      </c>
      <c r="Y43" s="262">
        <f t="shared" si="12"/>
        <v>1.2265213213213211</v>
      </c>
    </row>
    <row r="44" spans="2:25" ht="25.5">
      <c r="B44" s="362"/>
      <c r="C44" s="363"/>
      <c r="D44" s="363"/>
      <c r="E44" s="363"/>
      <c r="F44" s="363"/>
      <c r="G44" s="363"/>
      <c r="H44" s="363"/>
      <c r="I44" s="363"/>
      <c r="J44" s="363"/>
      <c r="K44" s="363"/>
      <c r="L44" s="364"/>
      <c r="N44" s="370"/>
      <c r="O44" s="371"/>
      <c r="P44" s="309"/>
      <c r="Q44" s="249"/>
      <c r="R44" s="249"/>
      <c r="S44" s="249"/>
      <c r="T44" s="249"/>
      <c r="U44" s="249"/>
      <c r="V44" s="249"/>
      <c r="W44" s="249"/>
      <c r="X44" s="249"/>
      <c r="Y44" s="250"/>
    </row>
    <row r="45" spans="2:25" ht="25.5">
      <c r="B45" s="362"/>
      <c r="C45" s="363"/>
      <c r="D45" s="363"/>
      <c r="E45" s="363"/>
      <c r="F45" s="363"/>
      <c r="G45" s="363"/>
      <c r="H45" s="363"/>
      <c r="I45" s="363"/>
      <c r="J45" s="363"/>
      <c r="K45" s="363"/>
      <c r="L45" s="364"/>
      <c r="N45" s="370" t="s">
        <v>18</v>
      </c>
      <c r="O45" s="371"/>
      <c r="P45" s="310">
        <v>3</v>
      </c>
      <c r="Q45" s="311">
        <v>2.98</v>
      </c>
      <c r="R45" s="311">
        <v>3</v>
      </c>
      <c r="S45" s="311">
        <v>3</v>
      </c>
      <c r="T45" s="311">
        <v>2.79</v>
      </c>
      <c r="U45" s="311">
        <v>2.95</v>
      </c>
      <c r="V45" s="311">
        <v>3</v>
      </c>
      <c r="W45" s="311">
        <v>3</v>
      </c>
      <c r="X45" s="311">
        <v>3</v>
      </c>
      <c r="Y45" s="312">
        <v>3</v>
      </c>
    </row>
    <row r="46" spans="2:25" ht="25.5">
      <c r="B46" s="362"/>
      <c r="C46" s="363"/>
      <c r="D46" s="363"/>
      <c r="E46" s="363"/>
      <c r="F46" s="363"/>
      <c r="G46" s="363"/>
      <c r="H46" s="363"/>
      <c r="I46" s="363"/>
      <c r="J46" s="363"/>
      <c r="K46" s="363"/>
      <c r="L46" s="364"/>
      <c r="N46" s="370"/>
      <c r="O46" s="371"/>
      <c r="P46" s="309"/>
      <c r="Q46" s="249"/>
      <c r="R46" s="249"/>
      <c r="S46" s="249"/>
      <c r="T46" s="249"/>
      <c r="U46" s="249"/>
      <c r="V46" s="249"/>
      <c r="W46" s="249"/>
      <c r="X46" s="249"/>
      <c r="Y46" s="250"/>
    </row>
    <row r="47" spans="2:25" ht="25.5">
      <c r="B47" s="362"/>
      <c r="C47" s="363"/>
      <c r="D47" s="363"/>
      <c r="E47" s="363"/>
      <c r="F47" s="363"/>
      <c r="G47" s="363"/>
      <c r="H47" s="363"/>
      <c r="I47" s="363"/>
      <c r="J47" s="363"/>
      <c r="K47" s="363"/>
      <c r="L47" s="364"/>
      <c r="N47" s="370" t="s">
        <v>19</v>
      </c>
      <c r="O47" s="371"/>
      <c r="P47" s="313">
        <f>P45*20%</f>
        <v>0.60000000000000009</v>
      </c>
      <c r="Q47" s="314">
        <f t="shared" ref="Q47:Y47" si="13">Q45*20%</f>
        <v>0.59599999999999997</v>
      </c>
      <c r="R47" s="314">
        <f t="shared" si="13"/>
        <v>0.60000000000000009</v>
      </c>
      <c r="S47" s="314">
        <f t="shared" si="13"/>
        <v>0.60000000000000009</v>
      </c>
      <c r="T47" s="314">
        <f t="shared" si="13"/>
        <v>0.55800000000000005</v>
      </c>
      <c r="U47" s="314">
        <f t="shared" si="13"/>
        <v>0.59000000000000008</v>
      </c>
      <c r="V47" s="314">
        <f t="shared" si="13"/>
        <v>0.60000000000000009</v>
      </c>
      <c r="W47" s="314">
        <f t="shared" si="13"/>
        <v>0.60000000000000009</v>
      </c>
      <c r="X47" s="314">
        <f t="shared" si="13"/>
        <v>0.60000000000000009</v>
      </c>
      <c r="Y47" s="315">
        <f t="shared" si="13"/>
        <v>0.60000000000000009</v>
      </c>
    </row>
    <row r="48" spans="2:25" ht="25.5">
      <c r="B48" s="362"/>
      <c r="C48" s="363"/>
      <c r="D48" s="363"/>
      <c r="E48" s="363"/>
      <c r="F48" s="363"/>
      <c r="G48" s="363"/>
      <c r="H48" s="363"/>
      <c r="I48" s="363"/>
      <c r="J48" s="363"/>
      <c r="K48" s="363"/>
      <c r="L48" s="364"/>
      <c r="N48" s="370"/>
      <c r="O48" s="371"/>
      <c r="P48" s="309"/>
      <c r="Q48" s="249"/>
      <c r="R48" s="249"/>
      <c r="S48" s="249"/>
      <c r="T48" s="249"/>
      <c r="U48" s="249"/>
      <c r="V48" s="249"/>
      <c r="W48" s="249"/>
      <c r="X48" s="249"/>
      <c r="Y48" s="250"/>
    </row>
    <row r="49" spans="2:25" ht="26.25" thickBot="1">
      <c r="B49" s="365"/>
      <c r="C49" s="366"/>
      <c r="D49" s="366"/>
      <c r="E49" s="366"/>
      <c r="F49" s="366"/>
      <c r="G49" s="366"/>
      <c r="H49" s="366"/>
      <c r="I49" s="366"/>
      <c r="J49" s="366"/>
      <c r="K49" s="366"/>
      <c r="L49" s="367"/>
      <c r="N49" s="372" t="s">
        <v>20</v>
      </c>
      <c r="O49" s="373"/>
      <c r="P49" s="259">
        <f>SUM(P43+P47)</f>
        <v>2.4901981981981987</v>
      </c>
      <c r="Q49" s="259">
        <f t="shared" ref="Q49:Y49" si="14">SUM(Q43+Q47)</f>
        <v>2.1046582582582589</v>
      </c>
      <c r="R49" s="319">
        <f t="shared" si="14"/>
        <v>1.9496557700557704</v>
      </c>
      <c r="S49" s="259">
        <f t="shared" si="14"/>
        <v>2.0647555555555557</v>
      </c>
      <c r="T49" s="259">
        <f t="shared" si="14"/>
        <v>1.7125528957528957</v>
      </c>
      <c r="U49" s="259">
        <f t="shared" si="14"/>
        <v>1.7571140283140285</v>
      </c>
      <c r="V49" s="259">
        <f t="shared" si="14"/>
        <v>2.2853154869154872</v>
      </c>
      <c r="W49" s="259">
        <f t="shared" si="14"/>
        <v>2.0054548262548262</v>
      </c>
      <c r="X49" s="259">
        <f t="shared" si="14"/>
        <v>1.4105153153153154</v>
      </c>
      <c r="Y49" s="259">
        <f t="shared" si="14"/>
        <v>1.8265213213213212</v>
      </c>
    </row>
  </sheetData>
  <mergeCells count="13">
    <mergeCell ref="B1:L2"/>
    <mergeCell ref="N1:Y1"/>
    <mergeCell ref="N2:Y2"/>
    <mergeCell ref="B42:L49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</mergeCells>
  <printOptions horizontalCentered="1" verticalCentered="1"/>
  <pageMargins left="0.51181102362204722" right="0.51181102362204722" top="0.33" bottom="0.74803149606299213" header="0.31496062992125984" footer="0.31496062992125984"/>
  <pageSetup paperSize="9" scale="45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49"/>
  <sheetViews>
    <sheetView zoomScale="70" zoomScaleNormal="70" workbookViewId="0">
      <selection activeCell="J21" sqref="J21"/>
    </sheetView>
  </sheetViews>
  <sheetFormatPr defaultRowHeight="15.75"/>
  <cols>
    <col min="1" max="1" width="9.140625" style="4"/>
    <col min="2" max="2" width="28.5703125" style="1" customWidth="1"/>
    <col min="3" max="7" width="9.5703125" style="4" bestFit="1" customWidth="1"/>
    <col min="8" max="8" width="21.140625" style="4" bestFit="1" customWidth="1"/>
    <col min="9" max="9" width="10.5703125" style="4" bestFit="1" customWidth="1"/>
    <col min="10" max="12" width="13" style="4" bestFit="1" customWidth="1"/>
    <col min="13" max="13" width="3.5703125" style="4" customWidth="1"/>
    <col min="14" max="14" width="22.85546875" style="8" bestFit="1" customWidth="1"/>
    <col min="15" max="15" width="31.85546875" style="5" customWidth="1"/>
    <col min="16" max="22" width="9.140625" style="4"/>
    <col min="23" max="25" width="12.5703125" style="4" bestFit="1" customWidth="1"/>
    <col min="26" max="16384" width="9.140625" style="4"/>
  </cols>
  <sheetData>
    <row r="1" spans="2:25" s="5" customFormat="1" ht="30.75" customHeight="1">
      <c r="B1" s="374" t="s">
        <v>152</v>
      </c>
      <c r="C1" s="375"/>
      <c r="D1" s="375"/>
      <c r="E1" s="375"/>
      <c r="F1" s="375"/>
      <c r="G1" s="375"/>
      <c r="H1" s="375"/>
      <c r="I1" s="375"/>
      <c r="J1" s="375"/>
      <c r="K1" s="375"/>
      <c r="L1" s="376"/>
      <c r="M1" s="187"/>
      <c r="N1" s="384" t="s">
        <v>153</v>
      </c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5"/>
    </row>
    <row r="2" spans="2:25" s="5" customFormat="1" ht="30.75" customHeight="1" thickBot="1">
      <c r="B2" s="377"/>
      <c r="C2" s="378"/>
      <c r="D2" s="378"/>
      <c r="E2" s="378"/>
      <c r="F2" s="378"/>
      <c r="G2" s="378"/>
      <c r="H2" s="378"/>
      <c r="I2" s="378"/>
      <c r="J2" s="378"/>
      <c r="K2" s="378"/>
      <c r="L2" s="379"/>
      <c r="M2" s="188"/>
      <c r="N2" s="381" t="s">
        <v>154</v>
      </c>
      <c r="O2" s="382"/>
      <c r="P2" s="382"/>
      <c r="Q2" s="382"/>
      <c r="R2" s="382"/>
      <c r="S2" s="382"/>
      <c r="T2" s="382"/>
      <c r="U2" s="382"/>
      <c r="V2" s="382"/>
      <c r="W2" s="382"/>
      <c r="X2" s="382"/>
      <c r="Y2" s="383"/>
    </row>
    <row r="3" spans="2:25" s="251" customFormat="1" ht="44.25" customHeight="1" thickBot="1">
      <c r="B3" s="252" t="s">
        <v>151</v>
      </c>
      <c r="C3" s="252" t="s">
        <v>0</v>
      </c>
      <c r="D3" s="252" t="s">
        <v>1</v>
      </c>
      <c r="E3" s="252" t="s">
        <v>2</v>
      </c>
      <c r="F3" s="252" t="s">
        <v>3</v>
      </c>
      <c r="G3" s="252" t="s">
        <v>4</v>
      </c>
      <c r="H3" s="252" t="s">
        <v>5</v>
      </c>
      <c r="I3" s="252" t="s">
        <v>6</v>
      </c>
      <c r="J3" s="252" t="s">
        <v>7</v>
      </c>
      <c r="K3" s="252" t="s">
        <v>8</v>
      </c>
      <c r="L3" s="252" t="s">
        <v>9</v>
      </c>
      <c r="M3" s="252"/>
      <c r="N3" s="252" t="s">
        <v>10</v>
      </c>
      <c r="O3" s="252" t="s">
        <v>151</v>
      </c>
      <c r="P3" s="252" t="s">
        <v>0</v>
      </c>
      <c r="Q3" s="252" t="s">
        <v>1</v>
      </c>
      <c r="R3" s="252" t="s">
        <v>2</v>
      </c>
      <c r="S3" s="252" t="s">
        <v>3</v>
      </c>
      <c r="T3" s="252" t="s">
        <v>4</v>
      </c>
      <c r="U3" s="252" t="s">
        <v>5</v>
      </c>
      <c r="V3" s="252" t="s">
        <v>6</v>
      </c>
      <c r="W3" s="252" t="s">
        <v>7</v>
      </c>
      <c r="X3" s="252" t="s">
        <v>8</v>
      </c>
      <c r="Y3" s="328" t="s">
        <v>9</v>
      </c>
    </row>
    <row r="4" spans="2:25" ht="19.5" customHeight="1">
      <c r="B4" s="320" t="s">
        <v>11</v>
      </c>
      <c r="C4" s="337">
        <v>3</v>
      </c>
      <c r="D4" s="338">
        <v>2</v>
      </c>
      <c r="E4" s="338"/>
      <c r="F4" s="338"/>
      <c r="G4" s="338"/>
      <c r="H4" s="338"/>
      <c r="I4" s="339">
        <v>2.4</v>
      </c>
      <c r="J4" s="338">
        <v>2</v>
      </c>
      <c r="K4" s="338">
        <v>1</v>
      </c>
      <c r="L4" s="340">
        <v>2</v>
      </c>
      <c r="M4" s="189"/>
      <c r="N4" s="302">
        <v>3</v>
      </c>
      <c r="O4" s="236" t="s">
        <v>11</v>
      </c>
      <c r="P4" s="237">
        <f t="shared" ref="P4:P40" si="0">(C4*N4)/3</f>
        <v>3</v>
      </c>
      <c r="Q4" s="238">
        <f t="shared" ref="Q4:Q40" si="1">(D4*N4)/3</f>
        <v>2</v>
      </c>
      <c r="R4" s="238">
        <f t="shared" ref="R4:R40" si="2">(E4*N4)/3</f>
        <v>0</v>
      </c>
      <c r="S4" s="238">
        <f t="shared" ref="S4:S40" si="3">(F4*N4)/3</f>
        <v>0</v>
      </c>
      <c r="T4" s="238">
        <f t="shared" ref="T4:T40" si="4">(G4*N4)/3</f>
        <v>0</v>
      </c>
      <c r="U4" s="238">
        <f t="shared" ref="U4:U40" si="5">(H4*N4)/3</f>
        <v>0</v>
      </c>
      <c r="V4" s="238">
        <f t="shared" ref="V4:V40" si="6">(I4*N4)/3</f>
        <v>2.4</v>
      </c>
      <c r="W4" s="238">
        <f t="shared" ref="W4:W40" si="7">(J4*N4)/3</f>
        <v>2</v>
      </c>
      <c r="X4" s="238">
        <f t="shared" ref="X4:X40" si="8">(K4*N4)/3</f>
        <v>1</v>
      </c>
      <c r="Y4" s="239">
        <f t="shared" ref="Y4:Y40" si="9">(L4*N4)/3</f>
        <v>2</v>
      </c>
    </row>
    <row r="5" spans="2:25" ht="19.5" customHeight="1">
      <c r="B5" s="321" t="s">
        <v>12</v>
      </c>
      <c r="C5" s="341">
        <v>2.8333333333333335</v>
      </c>
      <c r="D5" s="342">
        <v>2</v>
      </c>
      <c r="E5" s="342">
        <v>2.5</v>
      </c>
      <c r="F5" s="342"/>
      <c r="G5" s="342"/>
      <c r="H5" s="342"/>
      <c r="I5" s="342">
        <v>2</v>
      </c>
      <c r="J5" s="342"/>
      <c r="K5" s="342"/>
      <c r="L5" s="343"/>
      <c r="M5" s="189"/>
      <c r="N5" s="303">
        <v>1.55</v>
      </c>
      <c r="O5" s="240" t="s">
        <v>12</v>
      </c>
      <c r="P5" s="241">
        <f t="shared" si="0"/>
        <v>1.4638888888888888</v>
      </c>
      <c r="Q5" s="242">
        <f t="shared" si="1"/>
        <v>1.0333333333333334</v>
      </c>
      <c r="R5" s="242">
        <f t="shared" si="2"/>
        <v>1.2916666666666667</v>
      </c>
      <c r="S5" s="242">
        <f t="shared" si="3"/>
        <v>0</v>
      </c>
      <c r="T5" s="242">
        <f t="shared" si="4"/>
        <v>0</v>
      </c>
      <c r="U5" s="242">
        <f t="shared" si="5"/>
        <v>0</v>
      </c>
      <c r="V5" s="242">
        <f t="shared" si="6"/>
        <v>1.0333333333333334</v>
      </c>
      <c r="W5" s="242">
        <f t="shared" si="7"/>
        <v>0</v>
      </c>
      <c r="X5" s="242">
        <f t="shared" si="8"/>
        <v>0</v>
      </c>
      <c r="Y5" s="243">
        <f t="shared" si="9"/>
        <v>0</v>
      </c>
    </row>
    <row r="6" spans="2:25" ht="19.5" customHeight="1">
      <c r="B6" s="321" t="s">
        <v>13</v>
      </c>
      <c r="C6" s="344">
        <v>3</v>
      </c>
      <c r="D6" s="345">
        <v>2</v>
      </c>
      <c r="E6" s="345">
        <v>1.5</v>
      </c>
      <c r="F6" s="345">
        <v>2</v>
      </c>
      <c r="G6" s="346">
        <v>1.6666666666666667</v>
      </c>
      <c r="H6" s="345">
        <v>1</v>
      </c>
      <c r="I6" s="346">
        <v>2.3333333333333335</v>
      </c>
      <c r="J6" s="345">
        <v>2.4</v>
      </c>
      <c r="K6" s="345">
        <v>2</v>
      </c>
      <c r="L6" s="347">
        <v>2</v>
      </c>
      <c r="M6" s="189"/>
      <c r="N6" s="303">
        <v>1.55</v>
      </c>
      <c r="O6" s="240" t="s">
        <v>13</v>
      </c>
      <c r="P6" s="241">
        <f t="shared" si="0"/>
        <v>1.55</v>
      </c>
      <c r="Q6" s="242">
        <f t="shared" si="1"/>
        <v>1.0333333333333334</v>
      </c>
      <c r="R6" s="242">
        <f t="shared" si="2"/>
        <v>0.77500000000000002</v>
      </c>
      <c r="S6" s="242">
        <f t="shared" si="3"/>
        <v>1.0333333333333334</v>
      </c>
      <c r="T6" s="242">
        <f t="shared" si="4"/>
        <v>0.86111111111111116</v>
      </c>
      <c r="U6" s="242">
        <f t="shared" si="5"/>
        <v>0.51666666666666672</v>
      </c>
      <c r="V6" s="242">
        <f t="shared" si="6"/>
        <v>1.2055555555555557</v>
      </c>
      <c r="W6" s="242">
        <f t="shared" si="7"/>
        <v>1.24</v>
      </c>
      <c r="X6" s="242">
        <f t="shared" si="8"/>
        <v>1.0333333333333334</v>
      </c>
      <c r="Y6" s="243">
        <f t="shared" si="9"/>
        <v>1.0333333333333334</v>
      </c>
    </row>
    <row r="7" spans="2:25" ht="19.5" customHeight="1">
      <c r="B7" s="321" t="s">
        <v>14</v>
      </c>
      <c r="C7" s="344">
        <v>3</v>
      </c>
      <c r="D7" s="345">
        <v>2</v>
      </c>
      <c r="E7" s="345">
        <v>2</v>
      </c>
      <c r="F7" s="345">
        <v>2.5</v>
      </c>
      <c r="G7" s="345">
        <v>1.5</v>
      </c>
      <c r="H7" s="345">
        <v>1</v>
      </c>
      <c r="I7" s="345">
        <v>3</v>
      </c>
      <c r="J7" s="345">
        <v>2</v>
      </c>
      <c r="K7" s="345">
        <v>1</v>
      </c>
      <c r="L7" s="347">
        <v>2</v>
      </c>
      <c r="M7" s="189"/>
      <c r="N7" s="303">
        <v>3</v>
      </c>
      <c r="O7" s="240" t="s">
        <v>14</v>
      </c>
      <c r="P7" s="241">
        <f t="shared" si="0"/>
        <v>3</v>
      </c>
      <c r="Q7" s="242">
        <f t="shared" si="1"/>
        <v>2</v>
      </c>
      <c r="R7" s="242">
        <f t="shared" si="2"/>
        <v>2</v>
      </c>
      <c r="S7" s="242">
        <f t="shared" si="3"/>
        <v>2.5</v>
      </c>
      <c r="T7" s="242">
        <f t="shared" si="4"/>
        <v>1.5</v>
      </c>
      <c r="U7" s="242">
        <f t="shared" si="5"/>
        <v>1</v>
      </c>
      <c r="V7" s="242">
        <f t="shared" si="6"/>
        <v>3</v>
      </c>
      <c r="W7" s="242">
        <f t="shared" si="7"/>
        <v>2</v>
      </c>
      <c r="X7" s="242">
        <f t="shared" si="8"/>
        <v>1</v>
      </c>
      <c r="Y7" s="243">
        <f t="shared" si="9"/>
        <v>2</v>
      </c>
    </row>
    <row r="8" spans="2:25" ht="19.5" customHeight="1">
      <c r="B8" s="321" t="s">
        <v>54</v>
      </c>
      <c r="C8" s="348">
        <v>2.6666666666666665</v>
      </c>
      <c r="D8" s="346">
        <v>1.6666666666666667</v>
      </c>
      <c r="E8" s="345">
        <v>1</v>
      </c>
      <c r="F8" s="345">
        <v>2</v>
      </c>
      <c r="G8" s="345">
        <v>2.25</v>
      </c>
      <c r="H8" s="345">
        <v>2.2000000000000002</v>
      </c>
      <c r="I8" s="345">
        <v>2.5</v>
      </c>
      <c r="J8" s="345">
        <v>2</v>
      </c>
      <c r="K8" s="345">
        <v>1</v>
      </c>
      <c r="L8" s="347">
        <v>2</v>
      </c>
      <c r="M8" s="189"/>
      <c r="N8" s="303">
        <v>2.25</v>
      </c>
      <c r="O8" s="240" t="s">
        <v>54</v>
      </c>
      <c r="P8" s="241">
        <f t="shared" si="0"/>
        <v>2</v>
      </c>
      <c r="Q8" s="242">
        <f t="shared" si="1"/>
        <v>1.25</v>
      </c>
      <c r="R8" s="242">
        <f t="shared" si="2"/>
        <v>0.75</v>
      </c>
      <c r="S8" s="242">
        <f t="shared" si="3"/>
        <v>1.5</v>
      </c>
      <c r="T8" s="242">
        <f t="shared" si="4"/>
        <v>1.6875</v>
      </c>
      <c r="U8" s="242">
        <f t="shared" si="5"/>
        <v>1.6500000000000001</v>
      </c>
      <c r="V8" s="242">
        <f t="shared" si="6"/>
        <v>1.875</v>
      </c>
      <c r="W8" s="242">
        <f t="shared" si="7"/>
        <v>1.5</v>
      </c>
      <c r="X8" s="242">
        <f t="shared" si="8"/>
        <v>0.75</v>
      </c>
      <c r="Y8" s="243">
        <f t="shared" si="9"/>
        <v>1.5</v>
      </c>
    </row>
    <row r="9" spans="2:25" ht="19.5" customHeight="1">
      <c r="B9" s="321" t="s">
        <v>22</v>
      </c>
      <c r="C9" s="344">
        <v>2.4</v>
      </c>
      <c r="D9" s="345">
        <v>2</v>
      </c>
      <c r="E9" s="345">
        <v>2</v>
      </c>
      <c r="F9" s="345">
        <v>2.2000000000000002</v>
      </c>
      <c r="G9" s="345">
        <v>1.6</v>
      </c>
      <c r="H9" s="345">
        <v>1</v>
      </c>
      <c r="I9" s="345">
        <v>3</v>
      </c>
      <c r="J9" s="345">
        <v>2</v>
      </c>
      <c r="K9" s="345">
        <v>1</v>
      </c>
      <c r="L9" s="347">
        <v>2</v>
      </c>
      <c r="M9" s="189"/>
      <c r="N9" s="303">
        <v>3</v>
      </c>
      <c r="O9" s="240" t="s">
        <v>22</v>
      </c>
      <c r="P9" s="241">
        <f t="shared" si="0"/>
        <v>2.4</v>
      </c>
      <c r="Q9" s="242">
        <f t="shared" si="1"/>
        <v>2</v>
      </c>
      <c r="R9" s="242">
        <f t="shared" si="2"/>
        <v>2</v>
      </c>
      <c r="S9" s="242">
        <f t="shared" si="3"/>
        <v>2.2000000000000002</v>
      </c>
      <c r="T9" s="242">
        <f t="shared" si="4"/>
        <v>1.6000000000000003</v>
      </c>
      <c r="U9" s="242">
        <f t="shared" si="5"/>
        <v>1</v>
      </c>
      <c r="V9" s="242">
        <f t="shared" si="6"/>
        <v>3</v>
      </c>
      <c r="W9" s="242">
        <f t="shared" si="7"/>
        <v>2</v>
      </c>
      <c r="X9" s="242">
        <f t="shared" si="8"/>
        <v>1</v>
      </c>
      <c r="Y9" s="243">
        <f t="shared" si="9"/>
        <v>2</v>
      </c>
    </row>
    <row r="10" spans="2:25" ht="19.5" customHeight="1">
      <c r="B10" s="322" t="s">
        <v>23</v>
      </c>
      <c r="C10" s="348">
        <v>3</v>
      </c>
      <c r="D10" s="346">
        <v>1</v>
      </c>
      <c r="E10" s="345">
        <v>1.75</v>
      </c>
      <c r="F10" s="345">
        <v>2</v>
      </c>
      <c r="G10" s="345">
        <v>2</v>
      </c>
      <c r="H10" s="345">
        <v>0</v>
      </c>
      <c r="I10" s="345">
        <v>3</v>
      </c>
      <c r="J10" s="345">
        <v>1.75</v>
      </c>
      <c r="K10" s="345">
        <v>2</v>
      </c>
      <c r="L10" s="349">
        <v>1.1666666666666667</v>
      </c>
      <c r="M10" s="189"/>
      <c r="N10" s="303">
        <v>2.72</v>
      </c>
      <c r="O10" s="244" t="s">
        <v>23</v>
      </c>
      <c r="P10" s="241">
        <f t="shared" si="0"/>
        <v>2.72</v>
      </c>
      <c r="Q10" s="242">
        <f t="shared" si="1"/>
        <v>0.90666666666666673</v>
      </c>
      <c r="R10" s="242">
        <f t="shared" si="2"/>
        <v>1.5866666666666669</v>
      </c>
      <c r="S10" s="242">
        <f t="shared" si="3"/>
        <v>1.8133333333333335</v>
      </c>
      <c r="T10" s="242">
        <f t="shared" si="4"/>
        <v>1.8133333333333335</v>
      </c>
      <c r="U10" s="242">
        <f t="shared" si="5"/>
        <v>0</v>
      </c>
      <c r="V10" s="242">
        <f t="shared" si="6"/>
        <v>2.72</v>
      </c>
      <c r="W10" s="242">
        <f t="shared" si="7"/>
        <v>1.5866666666666669</v>
      </c>
      <c r="X10" s="242">
        <f t="shared" si="8"/>
        <v>1.8133333333333335</v>
      </c>
      <c r="Y10" s="243">
        <f t="shared" si="9"/>
        <v>1.0577777777777779</v>
      </c>
    </row>
    <row r="11" spans="2:25" ht="19.5" customHeight="1">
      <c r="B11" s="322" t="s">
        <v>24</v>
      </c>
      <c r="C11" s="350">
        <v>3</v>
      </c>
      <c r="D11" s="351">
        <v>1.8333333333333333</v>
      </c>
      <c r="E11" s="351">
        <v>2.1666666666666665</v>
      </c>
      <c r="F11" s="342">
        <v>3</v>
      </c>
      <c r="G11" s="342">
        <v>1.8</v>
      </c>
      <c r="H11" s="342">
        <v>2</v>
      </c>
      <c r="I11" s="342">
        <v>3</v>
      </c>
      <c r="J11" s="342"/>
      <c r="K11" s="342">
        <v>3</v>
      </c>
      <c r="L11" s="343">
        <v>2</v>
      </c>
      <c r="M11" s="189"/>
      <c r="N11" s="303">
        <v>2.5499999999999998</v>
      </c>
      <c r="O11" s="244" t="s">
        <v>24</v>
      </c>
      <c r="P11" s="241">
        <f t="shared" si="0"/>
        <v>2.5499999999999998</v>
      </c>
      <c r="Q11" s="242">
        <f t="shared" si="1"/>
        <v>1.5583333333333333</v>
      </c>
      <c r="R11" s="242">
        <f t="shared" si="2"/>
        <v>1.8416666666666666</v>
      </c>
      <c r="S11" s="242">
        <f t="shared" si="3"/>
        <v>2.5499999999999998</v>
      </c>
      <c r="T11" s="242">
        <f t="shared" si="4"/>
        <v>1.53</v>
      </c>
      <c r="U11" s="242">
        <f t="shared" si="5"/>
        <v>1.7</v>
      </c>
      <c r="V11" s="242">
        <f t="shared" si="6"/>
        <v>2.5499999999999998</v>
      </c>
      <c r="W11" s="242">
        <f t="shared" si="7"/>
        <v>0</v>
      </c>
      <c r="X11" s="242">
        <f t="shared" si="8"/>
        <v>2.5499999999999998</v>
      </c>
      <c r="Y11" s="243">
        <f t="shared" si="9"/>
        <v>1.7</v>
      </c>
    </row>
    <row r="12" spans="2:25" ht="19.5" customHeight="1">
      <c r="B12" s="322" t="s">
        <v>25</v>
      </c>
      <c r="C12" s="352">
        <v>2.6666666666666665</v>
      </c>
      <c r="D12" s="353">
        <v>1.6666666666666667</v>
      </c>
      <c r="E12" s="345">
        <v>1</v>
      </c>
      <c r="F12" s="345">
        <v>2</v>
      </c>
      <c r="G12" s="345">
        <v>2.25</v>
      </c>
      <c r="H12" s="345">
        <v>2.2000000000000002</v>
      </c>
      <c r="I12" s="345">
        <v>2.5</v>
      </c>
      <c r="J12" s="353">
        <v>1.6666666666666667</v>
      </c>
      <c r="K12" s="345">
        <v>1.5</v>
      </c>
      <c r="L12" s="347">
        <v>1</v>
      </c>
      <c r="M12" s="189"/>
      <c r="N12" s="303">
        <v>2.88</v>
      </c>
      <c r="O12" s="244" t="s">
        <v>25</v>
      </c>
      <c r="P12" s="241">
        <f t="shared" si="0"/>
        <v>2.56</v>
      </c>
      <c r="Q12" s="242">
        <f t="shared" si="1"/>
        <v>1.5999999999999999</v>
      </c>
      <c r="R12" s="242">
        <f t="shared" si="2"/>
        <v>0.96</v>
      </c>
      <c r="S12" s="242">
        <f t="shared" si="3"/>
        <v>1.92</v>
      </c>
      <c r="T12" s="242">
        <f t="shared" si="4"/>
        <v>2.1599999999999997</v>
      </c>
      <c r="U12" s="242">
        <f t="shared" si="5"/>
        <v>2.1120000000000001</v>
      </c>
      <c r="V12" s="242">
        <f t="shared" si="6"/>
        <v>2.4</v>
      </c>
      <c r="W12" s="242">
        <f t="shared" si="7"/>
        <v>1.5999999999999999</v>
      </c>
      <c r="X12" s="242">
        <f t="shared" si="8"/>
        <v>1.4400000000000002</v>
      </c>
      <c r="Y12" s="243">
        <f t="shared" si="9"/>
        <v>0.96</v>
      </c>
    </row>
    <row r="13" spans="2:25" ht="19.5" customHeight="1">
      <c r="B13" s="322" t="s">
        <v>26</v>
      </c>
      <c r="C13" s="344">
        <v>3</v>
      </c>
      <c r="D13" s="345">
        <v>3</v>
      </c>
      <c r="E13" s="345">
        <v>2.4</v>
      </c>
      <c r="F13" s="345">
        <v>2</v>
      </c>
      <c r="G13" s="345">
        <v>1.4</v>
      </c>
      <c r="H13" s="345">
        <v>2</v>
      </c>
      <c r="I13" s="345">
        <v>2.2000000000000002</v>
      </c>
      <c r="J13" s="345">
        <v>2</v>
      </c>
      <c r="K13" s="345">
        <v>1</v>
      </c>
      <c r="L13" s="347">
        <v>2</v>
      </c>
      <c r="M13" s="189"/>
      <c r="N13" s="303">
        <v>2.78</v>
      </c>
      <c r="O13" s="244" t="s">
        <v>26</v>
      </c>
      <c r="P13" s="241">
        <f t="shared" si="0"/>
        <v>2.78</v>
      </c>
      <c r="Q13" s="242">
        <f t="shared" si="1"/>
        <v>2.78</v>
      </c>
      <c r="R13" s="242">
        <f t="shared" si="2"/>
        <v>2.2239999999999998</v>
      </c>
      <c r="S13" s="242">
        <f t="shared" si="3"/>
        <v>1.8533333333333333</v>
      </c>
      <c r="T13" s="242">
        <f t="shared" si="4"/>
        <v>1.2973333333333332</v>
      </c>
      <c r="U13" s="242">
        <f t="shared" si="5"/>
        <v>1.8533333333333333</v>
      </c>
      <c r="V13" s="242">
        <f t="shared" si="6"/>
        <v>2.0386666666666664</v>
      </c>
      <c r="W13" s="242">
        <f t="shared" si="7"/>
        <v>1.8533333333333333</v>
      </c>
      <c r="X13" s="242">
        <f t="shared" si="8"/>
        <v>0.92666666666666664</v>
      </c>
      <c r="Y13" s="243">
        <f t="shared" si="9"/>
        <v>1.8533333333333333</v>
      </c>
    </row>
    <row r="14" spans="2:25" ht="19.5" customHeight="1">
      <c r="B14" s="322" t="s">
        <v>27</v>
      </c>
      <c r="C14" s="344">
        <v>1</v>
      </c>
      <c r="D14" s="345">
        <v>2</v>
      </c>
      <c r="E14" s="345">
        <v>1</v>
      </c>
      <c r="F14" s="345">
        <v>2</v>
      </c>
      <c r="G14" s="345"/>
      <c r="H14" s="345">
        <v>3</v>
      </c>
      <c r="I14" s="345">
        <v>2</v>
      </c>
      <c r="J14" s="345">
        <v>1</v>
      </c>
      <c r="K14" s="345">
        <v>1</v>
      </c>
      <c r="L14" s="347"/>
      <c r="M14" s="189"/>
      <c r="N14" s="303">
        <v>2.5</v>
      </c>
      <c r="O14" s="244" t="s">
        <v>27</v>
      </c>
      <c r="P14" s="241">
        <f t="shared" si="0"/>
        <v>0.83333333333333337</v>
      </c>
      <c r="Q14" s="242">
        <f t="shared" si="1"/>
        <v>1.6666666666666667</v>
      </c>
      <c r="R14" s="242">
        <f t="shared" si="2"/>
        <v>0.83333333333333337</v>
      </c>
      <c r="S14" s="242">
        <f t="shared" si="3"/>
        <v>1.6666666666666667</v>
      </c>
      <c r="T14" s="242">
        <f t="shared" si="4"/>
        <v>0</v>
      </c>
      <c r="U14" s="242">
        <f t="shared" si="5"/>
        <v>2.5</v>
      </c>
      <c r="V14" s="242">
        <f t="shared" si="6"/>
        <v>1.6666666666666667</v>
      </c>
      <c r="W14" s="242">
        <f t="shared" si="7"/>
        <v>0.83333333333333337</v>
      </c>
      <c r="X14" s="242">
        <f t="shared" si="8"/>
        <v>0.83333333333333337</v>
      </c>
      <c r="Y14" s="243">
        <f t="shared" si="9"/>
        <v>0</v>
      </c>
    </row>
    <row r="15" spans="2:25" ht="19.5" customHeight="1">
      <c r="B15" s="322" t="s">
        <v>28</v>
      </c>
      <c r="C15" s="344">
        <v>3</v>
      </c>
      <c r="D15" s="353">
        <v>2.3333333333333335</v>
      </c>
      <c r="E15" s="353">
        <v>1.75</v>
      </c>
      <c r="F15" s="353">
        <v>2.1666666666666665</v>
      </c>
      <c r="G15" s="353">
        <v>2</v>
      </c>
      <c r="H15" s="345">
        <v>2</v>
      </c>
      <c r="I15" s="345">
        <v>2</v>
      </c>
      <c r="J15" s="345">
        <v>3</v>
      </c>
      <c r="K15" s="345">
        <v>3</v>
      </c>
      <c r="L15" s="347">
        <v>2</v>
      </c>
      <c r="M15" s="189"/>
      <c r="N15" s="303">
        <v>3</v>
      </c>
      <c r="O15" s="244" t="s">
        <v>28</v>
      </c>
      <c r="P15" s="241">
        <f t="shared" si="0"/>
        <v>3</v>
      </c>
      <c r="Q15" s="242">
        <f t="shared" si="1"/>
        <v>2.3333333333333335</v>
      </c>
      <c r="R15" s="242">
        <f t="shared" si="2"/>
        <v>1.75</v>
      </c>
      <c r="S15" s="242">
        <f t="shared" si="3"/>
        <v>2.1666666666666665</v>
      </c>
      <c r="T15" s="242">
        <f t="shared" si="4"/>
        <v>2</v>
      </c>
      <c r="U15" s="242">
        <f t="shared" si="5"/>
        <v>2</v>
      </c>
      <c r="V15" s="242">
        <f t="shared" si="6"/>
        <v>2</v>
      </c>
      <c r="W15" s="242">
        <f t="shared" si="7"/>
        <v>3</v>
      </c>
      <c r="X15" s="242">
        <f t="shared" si="8"/>
        <v>3</v>
      </c>
      <c r="Y15" s="243">
        <f t="shared" si="9"/>
        <v>2</v>
      </c>
    </row>
    <row r="16" spans="2:25" ht="19.5" customHeight="1">
      <c r="B16" s="322" t="s">
        <v>29</v>
      </c>
      <c r="C16" s="344">
        <v>3</v>
      </c>
      <c r="D16" s="353">
        <v>1.3333333333333333</v>
      </c>
      <c r="E16" s="353">
        <v>2.1666666666666665</v>
      </c>
      <c r="F16" s="345">
        <v>2</v>
      </c>
      <c r="G16" s="353">
        <v>1.6666666666666667</v>
      </c>
      <c r="H16" s="345">
        <v>1.5</v>
      </c>
      <c r="I16" s="345">
        <v>3</v>
      </c>
      <c r="J16" s="353">
        <v>2.1666666666666665</v>
      </c>
      <c r="K16" s="353">
        <v>1.1666666666666667</v>
      </c>
      <c r="L16" s="349">
        <v>2.3333333333333335</v>
      </c>
      <c r="M16" s="189"/>
      <c r="N16" s="324">
        <v>3</v>
      </c>
      <c r="O16" s="244" t="s">
        <v>29</v>
      </c>
      <c r="P16" s="241">
        <f t="shared" si="0"/>
        <v>3</v>
      </c>
      <c r="Q16" s="242">
        <f t="shared" si="1"/>
        <v>1.3333333333333333</v>
      </c>
      <c r="R16" s="242">
        <f t="shared" si="2"/>
        <v>2.1666666666666665</v>
      </c>
      <c r="S16" s="242">
        <f t="shared" si="3"/>
        <v>2</v>
      </c>
      <c r="T16" s="242">
        <f t="shared" si="4"/>
        <v>1.6666666666666667</v>
      </c>
      <c r="U16" s="242">
        <f t="shared" si="5"/>
        <v>1.5</v>
      </c>
      <c r="V16" s="242">
        <f t="shared" si="6"/>
        <v>3</v>
      </c>
      <c r="W16" s="242">
        <f t="shared" si="7"/>
        <v>2.1666666666666665</v>
      </c>
      <c r="X16" s="242">
        <f t="shared" si="8"/>
        <v>1.1666666666666667</v>
      </c>
      <c r="Y16" s="243">
        <f t="shared" si="9"/>
        <v>2.3333333333333335</v>
      </c>
    </row>
    <row r="17" spans="2:25" ht="19.5" customHeight="1">
      <c r="B17" s="322" t="s">
        <v>30</v>
      </c>
      <c r="C17" s="344">
        <v>3</v>
      </c>
      <c r="D17" s="345">
        <v>2</v>
      </c>
      <c r="E17" s="345">
        <v>2.2000000000000002</v>
      </c>
      <c r="F17" s="345">
        <v>2</v>
      </c>
      <c r="G17" s="345">
        <v>1</v>
      </c>
      <c r="H17" s="345">
        <v>1.6</v>
      </c>
      <c r="I17" s="345">
        <v>2</v>
      </c>
      <c r="J17" s="345">
        <v>2</v>
      </c>
      <c r="K17" s="345">
        <v>1</v>
      </c>
      <c r="L17" s="347">
        <v>2.4</v>
      </c>
      <c r="M17" s="189"/>
      <c r="N17" s="308">
        <v>2.25</v>
      </c>
      <c r="O17" s="244" t="s">
        <v>30</v>
      </c>
      <c r="P17" s="241">
        <f t="shared" si="0"/>
        <v>2.25</v>
      </c>
      <c r="Q17" s="242">
        <f t="shared" si="1"/>
        <v>1.5</v>
      </c>
      <c r="R17" s="242">
        <f t="shared" si="2"/>
        <v>1.6500000000000001</v>
      </c>
      <c r="S17" s="242">
        <f t="shared" si="3"/>
        <v>1.5</v>
      </c>
      <c r="T17" s="242">
        <f t="shared" si="4"/>
        <v>0.75</v>
      </c>
      <c r="U17" s="242">
        <f t="shared" si="5"/>
        <v>1.2</v>
      </c>
      <c r="V17" s="242">
        <f t="shared" si="6"/>
        <v>1.5</v>
      </c>
      <c r="W17" s="242">
        <f t="shared" si="7"/>
        <v>1.5</v>
      </c>
      <c r="X17" s="242">
        <f t="shared" si="8"/>
        <v>0.75</v>
      </c>
      <c r="Y17" s="243">
        <f t="shared" si="9"/>
        <v>1.7999999999999998</v>
      </c>
    </row>
    <row r="18" spans="2:25" ht="19.5" customHeight="1">
      <c r="B18" s="322" t="s">
        <v>31</v>
      </c>
      <c r="C18" s="344">
        <v>3</v>
      </c>
      <c r="D18" s="345">
        <v>2.8</v>
      </c>
      <c r="E18" s="345">
        <v>3</v>
      </c>
      <c r="F18" s="345">
        <v>2</v>
      </c>
      <c r="G18" s="345">
        <v>1</v>
      </c>
      <c r="H18" s="345">
        <v>1.8</v>
      </c>
      <c r="I18" s="345">
        <v>2.6</v>
      </c>
      <c r="J18" s="345">
        <v>2</v>
      </c>
      <c r="K18" s="345">
        <v>1</v>
      </c>
      <c r="L18" s="347">
        <v>2</v>
      </c>
      <c r="M18" s="189"/>
      <c r="N18" s="308">
        <v>2.5099999999999998</v>
      </c>
      <c r="O18" s="244" t="s">
        <v>31</v>
      </c>
      <c r="P18" s="241">
        <f t="shared" si="0"/>
        <v>2.5099999999999998</v>
      </c>
      <c r="Q18" s="242">
        <f t="shared" si="1"/>
        <v>2.3426666666666662</v>
      </c>
      <c r="R18" s="242">
        <f t="shared" si="2"/>
        <v>2.5099999999999998</v>
      </c>
      <c r="S18" s="242">
        <f t="shared" si="3"/>
        <v>1.6733333333333331</v>
      </c>
      <c r="T18" s="242">
        <f t="shared" si="4"/>
        <v>0.83666666666666656</v>
      </c>
      <c r="U18" s="242">
        <f t="shared" si="5"/>
        <v>1.506</v>
      </c>
      <c r="V18" s="242">
        <f t="shared" si="6"/>
        <v>2.1753333333333331</v>
      </c>
      <c r="W18" s="242">
        <f t="shared" si="7"/>
        <v>1.6733333333333331</v>
      </c>
      <c r="X18" s="242">
        <f t="shared" si="8"/>
        <v>0.83666666666666656</v>
      </c>
      <c r="Y18" s="243">
        <f t="shared" si="9"/>
        <v>1.6733333333333331</v>
      </c>
    </row>
    <row r="19" spans="2:25" ht="19.5" customHeight="1">
      <c r="B19" s="322" t="s">
        <v>32</v>
      </c>
      <c r="C19" s="352">
        <v>2.6666666666666665</v>
      </c>
      <c r="D19" s="353">
        <v>2</v>
      </c>
      <c r="E19" s="353">
        <v>2</v>
      </c>
      <c r="F19" s="353">
        <v>2.2000000000000002</v>
      </c>
      <c r="G19" s="353">
        <v>3</v>
      </c>
      <c r="H19" s="353">
        <v>2.3333333333333335</v>
      </c>
      <c r="I19" s="353">
        <v>2</v>
      </c>
      <c r="J19" s="353">
        <v>2.3333333333333335</v>
      </c>
      <c r="K19" s="353"/>
      <c r="L19" s="349">
        <v>2</v>
      </c>
      <c r="M19" s="189"/>
      <c r="N19" s="308">
        <v>2.75</v>
      </c>
      <c r="O19" s="244" t="s">
        <v>32</v>
      </c>
      <c r="P19" s="241">
        <f t="shared" si="0"/>
        <v>2.4444444444444442</v>
      </c>
      <c r="Q19" s="242">
        <f t="shared" si="1"/>
        <v>1.8333333333333333</v>
      </c>
      <c r="R19" s="242">
        <f t="shared" si="2"/>
        <v>1.8333333333333333</v>
      </c>
      <c r="S19" s="242">
        <f t="shared" si="3"/>
        <v>2.0166666666666671</v>
      </c>
      <c r="T19" s="242">
        <f t="shared" si="4"/>
        <v>2.75</v>
      </c>
      <c r="U19" s="242">
        <f t="shared" si="5"/>
        <v>2.1388888888888888</v>
      </c>
      <c r="V19" s="242">
        <f t="shared" si="6"/>
        <v>1.8333333333333333</v>
      </c>
      <c r="W19" s="242">
        <f t="shared" si="7"/>
        <v>2.1388888888888888</v>
      </c>
      <c r="X19" s="242">
        <f t="shared" si="8"/>
        <v>0</v>
      </c>
      <c r="Y19" s="243">
        <f t="shared" si="9"/>
        <v>1.8333333333333333</v>
      </c>
    </row>
    <row r="20" spans="2:25" ht="19.5" customHeight="1">
      <c r="B20" s="322" t="s">
        <v>33</v>
      </c>
      <c r="C20" s="344">
        <v>3</v>
      </c>
      <c r="D20" s="345">
        <v>2.4</v>
      </c>
      <c r="E20" s="345">
        <v>3</v>
      </c>
      <c r="F20" s="345">
        <v>2</v>
      </c>
      <c r="G20" s="345">
        <v>2.5</v>
      </c>
      <c r="H20" s="345">
        <v>2</v>
      </c>
      <c r="I20" s="345">
        <v>2</v>
      </c>
      <c r="J20" s="345">
        <v>2</v>
      </c>
      <c r="K20" s="345">
        <v>1</v>
      </c>
      <c r="L20" s="347">
        <v>2.2000000000000002</v>
      </c>
      <c r="M20" s="189"/>
      <c r="N20" s="308">
        <v>2.78</v>
      </c>
      <c r="O20" s="244" t="s">
        <v>33</v>
      </c>
      <c r="P20" s="241">
        <f t="shared" si="0"/>
        <v>2.78</v>
      </c>
      <c r="Q20" s="242">
        <f t="shared" si="1"/>
        <v>2.2239999999999998</v>
      </c>
      <c r="R20" s="242">
        <f t="shared" si="2"/>
        <v>2.78</v>
      </c>
      <c r="S20" s="242">
        <f t="shared" si="3"/>
        <v>1.8533333333333333</v>
      </c>
      <c r="T20" s="242">
        <f t="shared" si="4"/>
        <v>2.3166666666666664</v>
      </c>
      <c r="U20" s="242">
        <f t="shared" si="5"/>
        <v>1.8533333333333333</v>
      </c>
      <c r="V20" s="242">
        <f t="shared" si="6"/>
        <v>1.8533333333333333</v>
      </c>
      <c r="W20" s="242">
        <f t="shared" si="7"/>
        <v>1.8533333333333333</v>
      </c>
      <c r="X20" s="242">
        <f t="shared" si="8"/>
        <v>0.92666666666666664</v>
      </c>
      <c r="Y20" s="243">
        <f t="shared" si="9"/>
        <v>2.0386666666666664</v>
      </c>
    </row>
    <row r="21" spans="2:25" ht="19.5" customHeight="1">
      <c r="B21" s="322" t="s">
        <v>34</v>
      </c>
      <c r="C21" s="344">
        <v>3</v>
      </c>
      <c r="D21" s="345">
        <v>2.4</v>
      </c>
      <c r="E21" s="345">
        <v>2.75</v>
      </c>
      <c r="F21" s="345">
        <v>2.25</v>
      </c>
      <c r="G21" s="345">
        <v>1</v>
      </c>
      <c r="H21" s="345">
        <v>1.75</v>
      </c>
      <c r="I21" s="345">
        <v>2.6</v>
      </c>
      <c r="J21" s="345">
        <v>2.8</v>
      </c>
      <c r="K21" s="345">
        <v>1.2</v>
      </c>
      <c r="L21" s="347">
        <v>2.25</v>
      </c>
      <c r="M21" s="189"/>
      <c r="N21" s="308">
        <v>2.48</v>
      </c>
      <c r="O21" s="244" t="s">
        <v>34</v>
      </c>
      <c r="P21" s="241">
        <f t="shared" si="0"/>
        <v>2.48</v>
      </c>
      <c r="Q21" s="242">
        <f t="shared" si="1"/>
        <v>1.984</v>
      </c>
      <c r="R21" s="242">
        <f t="shared" si="2"/>
        <v>2.2733333333333334</v>
      </c>
      <c r="S21" s="242">
        <f t="shared" si="3"/>
        <v>1.86</v>
      </c>
      <c r="T21" s="242">
        <f t="shared" si="4"/>
        <v>0.82666666666666666</v>
      </c>
      <c r="U21" s="242">
        <f t="shared" si="5"/>
        <v>1.4466666666666665</v>
      </c>
      <c r="V21" s="242">
        <f t="shared" si="6"/>
        <v>2.1493333333333333</v>
      </c>
      <c r="W21" s="242">
        <f t="shared" si="7"/>
        <v>2.3146666666666667</v>
      </c>
      <c r="X21" s="242">
        <f t="shared" si="8"/>
        <v>0.99199999999999999</v>
      </c>
      <c r="Y21" s="243">
        <f t="shared" si="9"/>
        <v>1.86</v>
      </c>
    </row>
    <row r="22" spans="2:25" ht="19.5" customHeight="1">
      <c r="B22" s="322" t="s">
        <v>35</v>
      </c>
      <c r="C22" s="344">
        <v>3</v>
      </c>
      <c r="D22" s="345">
        <v>3</v>
      </c>
      <c r="E22" s="345">
        <v>3</v>
      </c>
      <c r="F22" s="345">
        <v>2.2000000000000002</v>
      </c>
      <c r="G22" s="345">
        <v>1</v>
      </c>
      <c r="H22" s="345">
        <v>2</v>
      </c>
      <c r="I22" s="345">
        <v>2.8</v>
      </c>
      <c r="J22" s="345">
        <v>3</v>
      </c>
      <c r="K22" s="345">
        <v>1</v>
      </c>
      <c r="L22" s="347">
        <v>2</v>
      </c>
      <c r="M22" s="189"/>
      <c r="N22" s="308">
        <v>2.58</v>
      </c>
      <c r="O22" s="244" t="s">
        <v>35</v>
      </c>
      <c r="P22" s="241">
        <f t="shared" si="0"/>
        <v>2.58</v>
      </c>
      <c r="Q22" s="242">
        <f t="shared" si="1"/>
        <v>2.58</v>
      </c>
      <c r="R22" s="242">
        <f t="shared" si="2"/>
        <v>2.58</v>
      </c>
      <c r="S22" s="242">
        <f t="shared" si="3"/>
        <v>1.8920000000000003</v>
      </c>
      <c r="T22" s="242">
        <f t="shared" si="4"/>
        <v>0.86</v>
      </c>
      <c r="U22" s="242">
        <f t="shared" si="5"/>
        <v>1.72</v>
      </c>
      <c r="V22" s="242">
        <f t="shared" si="6"/>
        <v>2.4079999999999999</v>
      </c>
      <c r="W22" s="242">
        <f t="shared" si="7"/>
        <v>2.58</v>
      </c>
      <c r="X22" s="242">
        <f t="shared" si="8"/>
        <v>0.86</v>
      </c>
      <c r="Y22" s="243">
        <f t="shared" si="9"/>
        <v>1.72</v>
      </c>
    </row>
    <row r="23" spans="2:25" ht="19.5" customHeight="1">
      <c r="B23" s="322" t="s">
        <v>36</v>
      </c>
      <c r="C23" s="344">
        <v>3</v>
      </c>
      <c r="D23" s="345">
        <v>3</v>
      </c>
      <c r="E23" s="353">
        <v>1.6666666666666667</v>
      </c>
      <c r="F23" s="345">
        <v>2.2000000000000002</v>
      </c>
      <c r="G23" s="345">
        <v>2.2000000000000002</v>
      </c>
      <c r="H23" s="345">
        <v>2.4</v>
      </c>
      <c r="I23" s="345">
        <v>2.4</v>
      </c>
      <c r="J23" s="345">
        <v>2</v>
      </c>
      <c r="K23" s="345">
        <v>1</v>
      </c>
      <c r="L23" s="347">
        <v>2</v>
      </c>
      <c r="M23" s="189"/>
      <c r="N23" s="308">
        <v>2.85</v>
      </c>
      <c r="O23" s="244" t="s">
        <v>36</v>
      </c>
      <c r="P23" s="241">
        <f t="shared" si="0"/>
        <v>2.85</v>
      </c>
      <c r="Q23" s="242">
        <f t="shared" si="1"/>
        <v>2.85</v>
      </c>
      <c r="R23" s="242">
        <f t="shared" si="2"/>
        <v>1.5833333333333333</v>
      </c>
      <c r="S23" s="242">
        <f t="shared" si="3"/>
        <v>2.0900000000000003</v>
      </c>
      <c r="T23" s="242">
        <f t="shared" si="4"/>
        <v>2.0900000000000003</v>
      </c>
      <c r="U23" s="242">
        <f t="shared" si="5"/>
        <v>2.2799999999999998</v>
      </c>
      <c r="V23" s="242">
        <f t="shared" si="6"/>
        <v>2.2799999999999998</v>
      </c>
      <c r="W23" s="242">
        <f t="shared" si="7"/>
        <v>1.9000000000000001</v>
      </c>
      <c r="X23" s="242">
        <f t="shared" si="8"/>
        <v>0.95000000000000007</v>
      </c>
      <c r="Y23" s="243">
        <f t="shared" si="9"/>
        <v>1.9000000000000001</v>
      </c>
    </row>
    <row r="24" spans="2:25" ht="19.5" customHeight="1">
      <c r="B24" s="322" t="s">
        <v>37</v>
      </c>
      <c r="C24" s="344">
        <v>3</v>
      </c>
      <c r="D24" s="345">
        <v>2.8</v>
      </c>
      <c r="E24" s="345">
        <v>3</v>
      </c>
      <c r="F24" s="345">
        <v>2.2000000000000002</v>
      </c>
      <c r="G24" s="345">
        <v>2</v>
      </c>
      <c r="H24" s="345">
        <v>2</v>
      </c>
      <c r="I24" s="345">
        <v>3</v>
      </c>
      <c r="J24" s="345">
        <v>3</v>
      </c>
      <c r="K24" s="345">
        <v>1.8</v>
      </c>
      <c r="L24" s="347">
        <v>2</v>
      </c>
      <c r="M24" s="189"/>
      <c r="N24" s="324">
        <v>2.8</v>
      </c>
      <c r="O24" s="244" t="s">
        <v>37</v>
      </c>
      <c r="P24" s="241">
        <f t="shared" si="0"/>
        <v>2.7999999999999994</v>
      </c>
      <c r="Q24" s="242">
        <f t="shared" si="1"/>
        <v>2.6133333333333328</v>
      </c>
      <c r="R24" s="242">
        <f t="shared" si="2"/>
        <v>2.7999999999999994</v>
      </c>
      <c r="S24" s="242">
        <f t="shared" si="3"/>
        <v>2.0533333333333332</v>
      </c>
      <c r="T24" s="242">
        <f t="shared" si="4"/>
        <v>1.8666666666666665</v>
      </c>
      <c r="U24" s="242">
        <f t="shared" si="5"/>
        <v>1.8666666666666665</v>
      </c>
      <c r="V24" s="242">
        <f t="shared" si="6"/>
        <v>2.7999999999999994</v>
      </c>
      <c r="W24" s="242">
        <f t="shared" si="7"/>
        <v>2.7999999999999994</v>
      </c>
      <c r="X24" s="242">
        <f t="shared" si="8"/>
        <v>1.68</v>
      </c>
      <c r="Y24" s="243">
        <f t="shared" si="9"/>
        <v>1.8666666666666665</v>
      </c>
    </row>
    <row r="25" spans="2:25" ht="19.5" customHeight="1">
      <c r="B25" s="322" t="s">
        <v>38</v>
      </c>
      <c r="C25" s="344">
        <v>3</v>
      </c>
      <c r="D25" s="345">
        <v>2.8</v>
      </c>
      <c r="E25" s="345">
        <v>3</v>
      </c>
      <c r="F25" s="345">
        <v>2.5</v>
      </c>
      <c r="G25" s="345">
        <v>1</v>
      </c>
      <c r="H25" s="353">
        <v>1.6666666666666667</v>
      </c>
      <c r="I25" s="345">
        <v>2.4</v>
      </c>
      <c r="J25" s="345">
        <v>1.8</v>
      </c>
      <c r="K25" s="345">
        <v>1</v>
      </c>
      <c r="L25" s="347">
        <v>2</v>
      </c>
      <c r="M25" s="189"/>
      <c r="N25" s="308">
        <v>2.83</v>
      </c>
      <c r="O25" s="244" t="s">
        <v>38</v>
      </c>
      <c r="P25" s="241">
        <f t="shared" si="0"/>
        <v>2.83</v>
      </c>
      <c r="Q25" s="242">
        <f t="shared" si="1"/>
        <v>2.6413333333333333</v>
      </c>
      <c r="R25" s="242">
        <f t="shared" si="2"/>
        <v>2.83</v>
      </c>
      <c r="S25" s="242">
        <f t="shared" si="3"/>
        <v>2.3583333333333334</v>
      </c>
      <c r="T25" s="242">
        <f t="shared" si="4"/>
        <v>0.94333333333333336</v>
      </c>
      <c r="U25" s="242">
        <f t="shared" si="5"/>
        <v>1.5722222222222222</v>
      </c>
      <c r="V25" s="242">
        <f t="shared" si="6"/>
        <v>2.2639999999999998</v>
      </c>
      <c r="W25" s="242">
        <f t="shared" si="7"/>
        <v>1.6980000000000002</v>
      </c>
      <c r="X25" s="242">
        <f t="shared" si="8"/>
        <v>0.94333333333333336</v>
      </c>
      <c r="Y25" s="243">
        <f t="shared" si="9"/>
        <v>1.8866666666666667</v>
      </c>
    </row>
    <row r="26" spans="2:25" ht="19.5" customHeight="1">
      <c r="B26" s="322" t="s">
        <v>39</v>
      </c>
      <c r="C26" s="344">
        <v>3</v>
      </c>
      <c r="D26" s="345">
        <v>2</v>
      </c>
      <c r="E26" s="345">
        <v>2.5</v>
      </c>
      <c r="F26" s="345">
        <v>2.8</v>
      </c>
      <c r="G26" s="345">
        <v>1</v>
      </c>
      <c r="H26" s="345">
        <v>1.4</v>
      </c>
      <c r="I26" s="345">
        <v>2</v>
      </c>
      <c r="J26" s="345">
        <v>3</v>
      </c>
      <c r="K26" s="345">
        <v>1</v>
      </c>
      <c r="L26" s="347">
        <v>2.6</v>
      </c>
      <c r="M26" s="189"/>
      <c r="N26" s="324">
        <v>3</v>
      </c>
      <c r="O26" s="244" t="s">
        <v>39</v>
      </c>
      <c r="P26" s="241">
        <f t="shared" si="0"/>
        <v>3</v>
      </c>
      <c r="Q26" s="242">
        <f t="shared" si="1"/>
        <v>2</v>
      </c>
      <c r="R26" s="242">
        <f t="shared" si="2"/>
        <v>2.5</v>
      </c>
      <c r="S26" s="242">
        <f t="shared" si="3"/>
        <v>2.7999999999999994</v>
      </c>
      <c r="T26" s="242">
        <f t="shared" si="4"/>
        <v>1</v>
      </c>
      <c r="U26" s="242">
        <f t="shared" si="5"/>
        <v>1.3999999999999997</v>
      </c>
      <c r="V26" s="242">
        <f t="shared" si="6"/>
        <v>2</v>
      </c>
      <c r="W26" s="242">
        <f t="shared" si="7"/>
        <v>3</v>
      </c>
      <c r="X26" s="242">
        <f t="shared" si="8"/>
        <v>1</v>
      </c>
      <c r="Y26" s="243">
        <f t="shared" si="9"/>
        <v>2.6</v>
      </c>
    </row>
    <row r="27" spans="2:25" ht="19.5" customHeight="1">
      <c r="B27" s="322" t="s">
        <v>40</v>
      </c>
      <c r="C27" s="344">
        <v>2</v>
      </c>
      <c r="D27" s="345">
        <v>1</v>
      </c>
      <c r="E27" s="345"/>
      <c r="F27" s="345">
        <v>2</v>
      </c>
      <c r="G27" s="345">
        <v>3</v>
      </c>
      <c r="H27" s="345"/>
      <c r="I27" s="345">
        <v>2.2000000000000002</v>
      </c>
      <c r="J27" s="345"/>
      <c r="K27" s="345"/>
      <c r="L27" s="347"/>
      <c r="M27" s="189"/>
      <c r="N27" s="324">
        <v>3</v>
      </c>
      <c r="O27" s="244" t="s">
        <v>40</v>
      </c>
      <c r="P27" s="241">
        <f t="shared" si="0"/>
        <v>2</v>
      </c>
      <c r="Q27" s="242">
        <f t="shared" si="1"/>
        <v>1</v>
      </c>
      <c r="R27" s="242">
        <f t="shared" si="2"/>
        <v>0</v>
      </c>
      <c r="S27" s="242">
        <f t="shared" si="3"/>
        <v>2</v>
      </c>
      <c r="T27" s="242">
        <f t="shared" si="4"/>
        <v>3</v>
      </c>
      <c r="U27" s="242">
        <f t="shared" si="5"/>
        <v>0</v>
      </c>
      <c r="V27" s="242">
        <f t="shared" si="6"/>
        <v>2.2000000000000002</v>
      </c>
      <c r="W27" s="242">
        <f t="shared" si="7"/>
        <v>0</v>
      </c>
      <c r="X27" s="242">
        <f t="shared" si="8"/>
        <v>0</v>
      </c>
      <c r="Y27" s="243">
        <f t="shared" si="9"/>
        <v>0</v>
      </c>
    </row>
    <row r="28" spans="2:25" ht="19.5" customHeight="1">
      <c r="B28" s="322" t="s">
        <v>41</v>
      </c>
      <c r="C28" s="344">
        <v>3</v>
      </c>
      <c r="D28" s="345">
        <v>2</v>
      </c>
      <c r="E28" s="345">
        <v>2</v>
      </c>
      <c r="F28" s="353">
        <v>2.6666666666666665</v>
      </c>
      <c r="G28" s="345">
        <v>1</v>
      </c>
      <c r="H28" s="345"/>
      <c r="I28" s="345">
        <v>2.2000000000000002</v>
      </c>
      <c r="J28" s="345">
        <v>2.4</v>
      </c>
      <c r="K28" s="345">
        <v>1.6</v>
      </c>
      <c r="L28" s="347">
        <v>1.8</v>
      </c>
      <c r="M28" s="189"/>
      <c r="N28" s="324">
        <v>3</v>
      </c>
      <c r="O28" s="244" t="s">
        <v>41</v>
      </c>
      <c r="P28" s="241">
        <f t="shared" si="0"/>
        <v>3</v>
      </c>
      <c r="Q28" s="242">
        <f t="shared" si="1"/>
        <v>2</v>
      </c>
      <c r="R28" s="242">
        <f t="shared" si="2"/>
        <v>2</v>
      </c>
      <c r="S28" s="242">
        <f t="shared" si="3"/>
        <v>2.6666666666666665</v>
      </c>
      <c r="T28" s="242">
        <f t="shared" si="4"/>
        <v>1</v>
      </c>
      <c r="U28" s="242">
        <f t="shared" si="5"/>
        <v>0</v>
      </c>
      <c r="V28" s="242">
        <f t="shared" si="6"/>
        <v>2.2000000000000002</v>
      </c>
      <c r="W28" s="242">
        <f t="shared" si="7"/>
        <v>2.4</v>
      </c>
      <c r="X28" s="242">
        <f t="shared" si="8"/>
        <v>1.6000000000000003</v>
      </c>
      <c r="Y28" s="243">
        <f t="shared" si="9"/>
        <v>1.8</v>
      </c>
    </row>
    <row r="29" spans="2:25" ht="19.5" customHeight="1">
      <c r="B29" s="322" t="s">
        <v>42</v>
      </c>
      <c r="C29" s="344">
        <v>3</v>
      </c>
      <c r="D29" s="345">
        <v>2.8</v>
      </c>
      <c r="E29" s="345">
        <v>2.4</v>
      </c>
      <c r="F29" s="345">
        <v>2.8</v>
      </c>
      <c r="G29" s="345">
        <v>1</v>
      </c>
      <c r="H29" s="345">
        <v>2</v>
      </c>
      <c r="I29" s="345">
        <v>3</v>
      </c>
      <c r="J29" s="345">
        <v>3</v>
      </c>
      <c r="K29" s="345">
        <v>1.25</v>
      </c>
      <c r="L29" s="347">
        <v>2</v>
      </c>
      <c r="M29" s="189"/>
      <c r="N29" s="324">
        <v>3</v>
      </c>
      <c r="O29" s="244" t="s">
        <v>42</v>
      </c>
      <c r="P29" s="241">
        <f t="shared" si="0"/>
        <v>3</v>
      </c>
      <c r="Q29" s="242">
        <f t="shared" si="1"/>
        <v>2.7999999999999994</v>
      </c>
      <c r="R29" s="242">
        <f t="shared" si="2"/>
        <v>2.4</v>
      </c>
      <c r="S29" s="242">
        <f t="shared" si="3"/>
        <v>2.7999999999999994</v>
      </c>
      <c r="T29" s="242">
        <f t="shared" si="4"/>
        <v>1</v>
      </c>
      <c r="U29" s="242">
        <f t="shared" si="5"/>
        <v>2</v>
      </c>
      <c r="V29" s="242">
        <f t="shared" si="6"/>
        <v>3</v>
      </c>
      <c r="W29" s="242">
        <f t="shared" si="7"/>
        <v>3</v>
      </c>
      <c r="X29" s="242">
        <f t="shared" si="8"/>
        <v>1.25</v>
      </c>
      <c r="Y29" s="243">
        <f t="shared" si="9"/>
        <v>2</v>
      </c>
    </row>
    <row r="30" spans="2:25" ht="19.5" customHeight="1">
      <c r="B30" s="322" t="s">
        <v>43</v>
      </c>
      <c r="C30" s="344">
        <v>3</v>
      </c>
      <c r="D30" s="345">
        <v>2.4</v>
      </c>
      <c r="E30" s="345">
        <v>2</v>
      </c>
      <c r="F30" s="345">
        <v>2</v>
      </c>
      <c r="G30" s="345">
        <v>1.6</v>
      </c>
      <c r="H30" s="345">
        <v>2.2000000000000002</v>
      </c>
      <c r="I30" s="345">
        <v>2.8</v>
      </c>
      <c r="J30" s="345">
        <v>2</v>
      </c>
      <c r="K30" s="345">
        <v>1</v>
      </c>
      <c r="L30" s="347">
        <v>2</v>
      </c>
      <c r="M30" s="189"/>
      <c r="N30" s="324">
        <v>3</v>
      </c>
      <c r="O30" s="244" t="s">
        <v>43</v>
      </c>
      <c r="P30" s="241">
        <f t="shared" si="0"/>
        <v>3</v>
      </c>
      <c r="Q30" s="242">
        <f t="shared" si="1"/>
        <v>2.4</v>
      </c>
      <c r="R30" s="242">
        <f t="shared" si="2"/>
        <v>2</v>
      </c>
      <c r="S30" s="242">
        <f t="shared" si="3"/>
        <v>2</v>
      </c>
      <c r="T30" s="242">
        <f t="shared" si="4"/>
        <v>1.6000000000000003</v>
      </c>
      <c r="U30" s="242">
        <f t="shared" si="5"/>
        <v>2.2000000000000002</v>
      </c>
      <c r="V30" s="242">
        <f t="shared" si="6"/>
        <v>2.7999999999999994</v>
      </c>
      <c r="W30" s="242">
        <f t="shared" si="7"/>
        <v>2</v>
      </c>
      <c r="X30" s="242">
        <f t="shared" si="8"/>
        <v>1</v>
      </c>
      <c r="Y30" s="243">
        <f t="shared" si="9"/>
        <v>2</v>
      </c>
    </row>
    <row r="31" spans="2:25" ht="19.5" customHeight="1">
      <c r="B31" s="322" t="s">
        <v>44</v>
      </c>
      <c r="C31" s="344">
        <v>3</v>
      </c>
      <c r="D31" s="345">
        <v>2.8</v>
      </c>
      <c r="E31" s="345">
        <v>3</v>
      </c>
      <c r="F31" s="345">
        <v>2.8</v>
      </c>
      <c r="G31" s="345">
        <v>1</v>
      </c>
      <c r="H31" s="345">
        <v>2</v>
      </c>
      <c r="I31" s="345">
        <v>2.6</v>
      </c>
      <c r="J31" s="345">
        <v>2.6</v>
      </c>
      <c r="K31" s="345">
        <v>1</v>
      </c>
      <c r="L31" s="347">
        <v>2</v>
      </c>
      <c r="M31" s="189"/>
      <c r="N31" s="324">
        <v>3</v>
      </c>
      <c r="O31" s="244" t="s">
        <v>44</v>
      </c>
      <c r="P31" s="241">
        <f t="shared" si="0"/>
        <v>3</v>
      </c>
      <c r="Q31" s="242">
        <f t="shared" si="1"/>
        <v>2.7999999999999994</v>
      </c>
      <c r="R31" s="242">
        <f t="shared" si="2"/>
        <v>3</v>
      </c>
      <c r="S31" s="242">
        <f t="shared" si="3"/>
        <v>2.7999999999999994</v>
      </c>
      <c r="T31" s="242">
        <f t="shared" si="4"/>
        <v>1</v>
      </c>
      <c r="U31" s="242">
        <f t="shared" si="5"/>
        <v>2</v>
      </c>
      <c r="V31" s="242">
        <f t="shared" si="6"/>
        <v>2.6</v>
      </c>
      <c r="W31" s="242">
        <f t="shared" si="7"/>
        <v>2.6</v>
      </c>
      <c r="X31" s="242">
        <f t="shared" si="8"/>
        <v>1</v>
      </c>
      <c r="Y31" s="243">
        <f t="shared" si="9"/>
        <v>2</v>
      </c>
    </row>
    <row r="32" spans="2:25" ht="19.5" customHeight="1">
      <c r="B32" s="322" t="s">
        <v>45</v>
      </c>
      <c r="C32" s="344">
        <v>2.5</v>
      </c>
      <c r="D32" s="345">
        <v>2.25</v>
      </c>
      <c r="E32" s="345">
        <v>2</v>
      </c>
      <c r="F32" s="353">
        <v>2.3333333333333335</v>
      </c>
      <c r="G32" s="345">
        <v>3</v>
      </c>
      <c r="H32" s="345">
        <v>2.25</v>
      </c>
      <c r="I32" s="345">
        <v>2.5</v>
      </c>
      <c r="J32" s="345">
        <v>2</v>
      </c>
      <c r="K32" s="345">
        <v>2</v>
      </c>
      <c r="L32" s="347">
        <v>2</v>
      </c>
      <c r="M32" s="189"/>
      <c r="N32" s="324">
        <v>3</v>
      </c>
      <c r="O32" s="244" t="s">
        <v>45</v>
      </c>
      <c r="P32" s="241">
        <f t="shared" si="0"/>
        <v>2.5</v>
      </c>
      <c r="Q32" s="242">
        <f t="shared" si="1"/>
        <v>2.25</v>
      </c>
      <c r="R32" s="242">
        <f t="shared" si="2"/>
        <v>2</v>
      </c>
      <c r="S32" s="242">
        <f t="shared" si="3"/>
        <v>2.3333333333333335</v>
      </c>
      <c r="T32" s="242">
        <f t="shared" si="4"/>
        <v>3</v>
      </c>
      <c r="U32" s="242">
        <f t="shared" si="5"/>
        <v>2.25</v>
      </c>
      <c r="V32" s="242">
        <f t="shared" si="6"/>
        <v>2.5</v>
      </c>
      <c r="W32" s="242">
        <f t="shared" si="7"/>
        <v>2</v>
      </c>
      <c r="X32" s="242">
        <f t="shared" si="8"/>
        <v>2</v>
      </c>
      <c r="Y32" s="243">
        <f t="shared" si="9"/>
        <v>2</v>
      </c>
    </row>
    <row r="33" spans="2:25" ht="19.5" customHeight="1">
      <c r="B33" s="322" t="s">
        <v>46</v>
      </c>
      <c r="C33" s="344">
        <v>3</v>
      </c>
      <c r="D33" s="353">
        <v>2.3333333333333335</v>
      </c>
      <c r="E33" s="353">
        <v>2.2222222222222223</v>
      </c>
      <c r="F33" s="353">
        <v>2.375</v>
      </c>
      <c r="G33" s="345">
        <v>2</v>
      </c>
      <c r="H33" s="345">
        <v>3</v>
      </c>
      <c r="I33" s="353">
        <v>2.7142857142857144</v>
      </c>
      <c r="J33" s="353">
        <v>2.7142857142857144</v>
      </c>
      <c r="K33" s="345">
        <v>2.6</v>
      </c>
      <c r="L33" s="347">
        <v>2</v>
      </c>
      <c r="M33" s="189"/>
      <c r="N33" s="324">
        <v>3</v>
      </c>
      <c r="O33" s="244" t="s">
        <v>46</v>
      </c>
      <c r="P33" s="241">
        <f t="shared" si="0"/>
        <v>3</v>
      </c>
      <c r="Q33" s="242">
        <f t="shared" si="1"/>
        <v>2.3333333333333335</v>
      </c>
      <c r="R33" s="242">
        <f t="shared" si="2"/>
        <v>2.2222222222222223</v>
      </c>
      <c r="S33" s="242">
        <f t="shared" si="3"/>
        <v>2.375</v>
      </c>
      <c r="T33" s="242">
        <f t="shared" si="4"/>
        <v>2</v>
      </c>
      <c r="U33" s="242">
        <f t="shared" si="5"/>
        <v>3</v>
      </c>
      <c r="V33" s="242">
        <f t="shared" si="6"/>
        <v>2.714285714285714</v>
      </c>
      <c r="W33" s="242">
        <f t="shared" si="7"/>
        <v>2.714285714285714</v>
      </c>
      <c r="X33" s="242">
        <f t="shared" si="8"/>
        <v>2.6</v>
      </c>
      <c r="Y33" s="243">
        <f t="shared" si="9"/>
        <v>2</v>
      </c>
    </row>
    <row r="34" spans="2:25" ht="19.5" customHeight="1">
      <c r="B34" s="322" t="s">
        <v>47</v>
      </c>
      <c r="C34" s="344">
        <v>1.4</v>
      </c>
      <c r="D34" s="345">
        <v>2</v>
      </c>
      <c r="E34" s="345">
        <v>2</v>
      </c>
      <c r="F34" s="345">
        <v>2</v>
      </c>
      <c r="G34" s="345">
        <v>3</v>
      </c>
      <c r="H34" s="345">
        <v>2.4</v>
      </c>
      <c r="I34" s="345">
        <v>2.4</v>
      </c>
      <c r="J34" s="345"/>
      <c r="K34" s="345"/>
      <c r="L34" s="347">
        <v>2</v>
      </c>
      <c r="M34" s="189"/>
      <c r="N34" s="308">
        <v>2.16</v>
      </c>
      <c r="O34" s="244" t="s">
        <v>47</v>
      </c>
      <c r="P34" s="241">
        <f t="shared" si="0"/>
        <v>1.008</v>
      </c>
      <c r="Q34" s="242">
        <f t="shared" si="1"/>
        <v>1.4400000000000002</v>
      </c>
      <c r="R34" s="242">
        <f t="shared" si="2"/>
        <v>1.4400000000000002</v>
      </c>
      <c r="S34" s="242">
        <f t="shared" si="3"/>
        <v>1.4400000000000002</v>
      </c>
      <c r="T34" s="242">
        <f t="shared" si="4"/>
        <v>2.16</v>
      </c>
      <c r="U34" s="242">
        <f t="shared" si="5"/>
        <v>1.728</v>
      </c>
      <c r="V34" s="242">
        <f t="shared" si="6"/>
        <v>1.728</v>
      </c>
      <c r="W34" s="242">
        <f t="shared" si="7"/>
        <v>0</v>
      </c>
      <c r="X34" s="242">
        <f t="shared" si="8"/>
        <v>0</v>
      </c>
      <c r="Y34" s="243">
        <f t="shared" si="9"/>
        <v>1.4400000000000002</v>
      </c>
    </row>
    <row r="35" spans="2:25" ht="19.5" customHeight="1">
      <c r="B35" s="322" t="s">
        <v>48</v>
      </c>
      <c r="C35" s="352">
        <v>2.6666666666666665</v>
      </c>
      <c r="D35" s="353">
        <v>1.6666666666666667</v>
      </c>
      <c r="E35" s="345">
        <v>1</v>
      </c>
      <c r="F35" s="345">
        <v>2</v>
      </c>
      <c r="G35" s="345">
        <v>2</v>
      </c>
      <c r="H35" s="345">
        <v>1.8333333333333333</v>
      </c>
      <c r="I35" s="345">
        <v>2.4</v>
      </c>
      <c r="J35" s="345">
        <v>2</v>
      </c>
      <c r="K35" s="345">
        <v>1</v>
      </c>
      <c r="L35" s="347">
        <v>2</v>
      </c>
      <c r="M35" s="189"/>
      <c r="N35" s="308">
        <v>1.73</v>
      </c>
      <c r="O35" s="244" t="s">
        <v>48</v>
      </c>
      <c r="P35" s="241">
        <f t="shared" si="0"/>
        <v>1.5377777777777777</v>
      </c>
      <c r="Q35" s="242">
        <f t="shared" si="1"/>
        <v>0.96111111111111114</v>
      </c>
      <c r="R35" s="242">
        <f t="shared" si="2"/>
        <v>0.57666666666666666</v>
      </c>
      <c r="S35" s="242">
        <f t="shared" si="3"/>
        <v>1.1533333333333333</v>
      </c>
      <c r="T35" s="242">
        <f t="shared" si="4"/>
        <v>1.1533333333333333</v>
      </c>
      <c r="U35" s="242">
        <f t="shared" si="5"/>
        <v>1.0572222222222221</v>
      </c>
      <c r="V35" s="242">
        <f t="shared" si="6"/>
        <v>1.3840000000000001</v>
      </c>
      <c r="W35" s="242">
        <f t="shared" si="7"/>
        <v>1.1533333333333333</v>
      </c>
      <c r="X35" s="242">
        <f t="shared" si="8"/>
        <v>0.57666666666666666</v>
      </c>
      <c r="Y35" s="243">
        <f t="shared" si="9"/>
        <v>1.1533333333333333</v>
      </c>
    </row>
    <row r="36" spans="2:25" ht="19.5" customHeight="1">
      <c r="B36" s="322" t="s">
        <v>49</v>
      </c>
      <c r="C36" s="344">
        <v>3</v>
      </c>
      <c r="D36" s="345">
        <v>3</v>
      </c>
      <c r="E36" s="345">
        <v>3</v>
      </c>
      <c r="F36" s="345">
        <v>2.6</v>
      </c>
      <c r="G36" s="345">
        <v>2</v>
      </c>
      <c r="H36" s="345">
        <v>2.2000000000000002</v>
      </c>
      <c r="I36" s="345">
        <v>2.6</v>
      </c>
      <c r="J36" s="345">
        <v>3</v>
      </c>
      <c r="K36" s="345">
        <v>1</v>
      </c>
      <c r="L36" s="347">
        <v>2</v>
      </c>
      <c r="M36" s="189"/>
      <c r="N36" s="308">
        <v>1.61</v>
      </c>
      <c r="O36" s="244" t="s">
        <v>49</v>
      </c>
      <c r="P36" s="241">
        <f t="shared" si="0"/>
        <v>1.61</v>
      </c>
      <c r="Q36" s="242">
        <f t="shared" si="1"/>
        <v>1.61</v>
      </c>
      <c r="R36" s="242">
        <f t="shared" si="2"/>
        <v>1.61</v>
      </c>
      <c r="S36" s="242">
        <f t="shared" si="3"/>
        <v>1.3953333333333335</v>
      </c>
      <c r="T36" s="242">
        <f t="shared" si="4"/>
        <v>1.0733333333333335</v>
      </c>
      <c r="U36" s="242">
        <f t="shared" si="5"/>
        <v>1.180666666666667</v>
      </c>
      <c r="V36" s="242">
        <f t="shared" si="6"/>
        <v>1.3953333333333335</v>
      </c>
      <c r="W36" s="242">
        <f t="shared" si="7"/>
        <v>1.61</v>
      </c>
      <c r="X36" s="242">
        <f t="shared" si="8"/>
        <v>0.53666666666666674</v>
      </c>
      <c r="Y36" s="243">
        <f t="shared" si="9"/>
        <v>1.0733333333333335</v>
      </c>
    </row>
    <row r="37" spans="2:25" ht="19.5" customHeight="1">
      <c r="B37" s="322" t="s">
        <v>50</v>
      </c>
      <c r="C37" s="350">
        <v>3</v>
      </c>
      <c r="D37" s="342">
        <v>2</v>
      </c>
      <c r="E37" s="342"/>
      <c r="F37" s="342">
        <v>2</v>
      </c>
      <c r="G37" s="342">
        <v>2.2000000000000002</v>
      </c>
      <c r="H37" s="342">
        <v>2</v>
      </c>
      <c r="I37" s="342">
        <v>2</v>
      </c>
      <c r="J37" s="342">
        <v>3</v>
      </c>
      <c r="K37" s="342">
        <v>1</v>
      </c>
      <c r="L37" s="343">
        <v>2</v>
      </c>
      <c r="M37" s="189"/>
      <c r="N37" s="308">
        <v>1.6</v>
      </c>
      <c r="O37" s="244" t="s">
        <v>50</v>
      </c>
      <c r="P37" s="241">
        <f t="shared" si="0"/>
        <v>1.6000000000000003</v>
      </c>
      <c r="Q37" s="242">
        <f t="shared" si="1"/>
        <v>1.0666666666666667</v>
      </c>
      <c r="R37" s="242">
        <f t="shared" si="2"/>
        <v>0</v>
      </c>
      <c r="S37" s="242">
        <f t="shared" si="3"/>
        <v>1.0666666666666667</v>
      </c>
      <c r="T37" s="242">
        <f t="shared" si="4"/>
        <v>1.1733333333333336</v>
      </c>
      <c r="U37" s="242">
        <f t="shared" si="5"/>
        <v>1.0666666666666667</v>
      </c>
      <c r="V37" s="242">
        <f t="shared" si="6"/>
        <v>1.0666666666666667</v>
      </c>
      <c r="W37" s="242">
        <f t="shared" si="7"/>
        <v>1.6000000000000003</v>
      </c>
      <c r="X37" s="242">
        <f t="shared" si="8"/>
        <v>0.53333333333333333</v>
      </c>
      <c r="Y37" s="243">
        <f t="shared" si="9"/>
        <v>1.0666666666666667</v>
      </c>
    </row>
    <row r="38" spans="2:25" ht="19.5" customHeight="1">
      <c r="B38" s="322" t="s">
        <v>51</v>
      </c>
      <c r="C38" s="344">
        <v>3</v>
      </c>
      <c r="D38" s="345">
        <v>3</v>
      </c>
      <c r="E38" s="345">
        <v>3</v>
      </c>
      <c r="F38" s="345">
        <v>2.8</v>
      </c>
      <c r="G38" s="353">
        <v>1.3333333333333333</v>
      </c>
      <c r="H38" s="345">
        <v>1.4</v>
      </c>
      <c r="I38" s="345">
        <v>2.4</v>
      </c>
      <c r="J38" s="345">
        <v>2</v>
      </c>
      <c r="K38" s="345">
        <v>1</v>
      </c>
      <c r="L38" s="347">
        <v>2</v>
      </c>
      <c r="M38" s="189"/>
      <c r="N38" s="308">
        <v>1.43</v>
      </c>
      <c r="O38" s="244" t="s">
        <v>51</v>
      </c>
      <c r="P38" s="241">
        <f t="shared" si="0"/>
        <v>1.43</v>
      </c>
      <c r="Q38" s="242">
        <f t="shared" si="1"/>
        <v>1.43</v>
      </c>
      <c r="R38" s="242">
        <f t="shared" si="2"/>
        <v>1.43</v>
      </c>
      <c r="S38" s="242">
        <f t="shared" si="3"/>
        <v>1.3346666666666664</v>
      </c>
      <c r="T38" s="242">
        <f t="shared" si="4"/>
        <v>0.63555555555555554</v>
      </c>
      <c r="U38" s="242">
        <f t="shared" si="5"/>
        <v>0.66733333333333322</v>
      </c>
      <c r="V38" s="242">
        <f t="shared" si="6"/>
        <v>1.1439999999999999</v>
      </c>
      <c r="W38" s="242">
        <f t="shared" si="7"/>
        <v>0.95333333333333325</v>
      </c>
      <c r="X38" s="242">
        <f t="shared" si="8"/>
        <v>0.47666666666666663</v>
      </c>
      <c r="Y38" s="243">
        <f t="shared" si="9"/>
        <v>0.95333333333333325</v>
      </c>
    </row>
    <row r="39" spans="2:25" ht="19.5" customHeight="1">
      <c r="B39" s="322" t="s">
        <v>52</v>
      </c>
      <c r="C39" s="344">
        <v>2.8</v>
      </c>
      <c r="D39" s="345">
        <v>2.4</v>
      </c>
      <c r="E39" s="353">
        <v>1.3333333333333333</v>
      </c>
      <c r="F39" s="345">
        <v>2</v>
      </c>
      <c r="G39" s="345">
        <v>2.75</v>
      </c>
      <c r="H39" s="345">
        <v>2</v>
      </c>
      <c r="I39" s="345">
        <v>2.2000000000000002</v>
      </c>
      <c r="J39" s="345">
        <v>2</v>
      </c>
      <c r="K39" s="345"/>
      <c r="L39" s="347">
        <v>2</v>
      </c>
      <c r="M39" s="189"/>
      <c r="N39" s="324">
        <v>3</v>
      </c>
      <c r="O39" s="244" t="s">
        <v>52</v>
      </c>
      <c r="P39" s="241">
        <f t="shared" si="0"/>
        <v>2.7999999999999994</v>
      </c>
      <c r="Q39" s="242">
        <f t="shared" si="1"/>
        <v>2.4</v>
      </c>
      <c r="R39" s="242">
        <f t="shared" si="2"/>
        <v>1.3333333333333333</v>
      </c>
      <c r="S39" s="242">
        <f t="shared" si="3"/>
        <v>2</v>
      </c>
      <c r="T39" s="242">
        <f t="shared" si="4"/>
        <v>2.75</v>
      </c>
      <c r="U39" s="242">
        <f t="shared" si="5"/>
        <v>2</v>
      </c>
      <c r="V39" s="242">
        <f t="shared" si="6"/>
        <v>2.2000000000000002</v>
      </c>
      <c r="W39" s="242">
        <f t="shared" si="7"/>
        <v>2</v>
      </c>
      <c r="X39" s="242">
        <f t="shared" si="8"/>
        <v>0</v>
      </c>
      <c r="Y39" s="243">
        <f t="shared" si="9"/>
        <v>2</v>
      </c>
    </row>
    <row r="40" spans="2:25" ht="19.5" customHeight="1" thickBot="1">
      <c r="B40" s="323" t="s">
        <v>53</v>
      </c>
      <c r="C40" s="354">
        <v>2.2000000000000002</v>
      </c>
      <c r="D40" s="355">
        <v>2.4</v>
      </c>
      <c r="E40" s="355">
        <v>2.1428571428571428</v>
      </c>
      <c r="F40" s="356">
        <v>2.8</v>
      </c>
      <c r="G40" s="355">
        <v>2.4285714285714284</v>
      </c>
      <c r="H40" s="355">
        <v>2.1428571428571428</v>
      </c>
      <c r="I40" s="357">
        <v>2.875</v>
      </c>
      <c r="J40" s="355">
        <v>2.125</v>
      </c>
      <c r="K40" s="356">
        <v>2</v>
      </c>
      <c r="L40" s="358">
        <v>1</v>
      </c>
      <c r="M40" s="189"/>
      <c r="N40" s="325">
        <v>3</v>
      </c>
      <c r="O40" s="245" t="s">
        <v>53</v>
      </c>
      <c r="P40" s="246">
        <f t="shared" si="0"/>
        <v>2.2000000000000002</v>
      </c>
      <c r="Q40" s="247">
        <f t="shared" si="1"/>
        <v>2.4</v>
      </c>
      <c r="R40" s="247">
        <f t="shared" si="2"/>
        <v>2.1428571428571428</v>
      </c>
      <c r="S40" s="247">
        <f t="shared" si="3"/>
        <v>2.7999999999999994</v>
      </c>
      <c r="T40" s="247">
        <f t="shared" si="4"/>
        <v>2.4285714285714284</v>
      </c>
      <c r="U40" s="247">
        <f t="shared" si="5"/>
        <v>2.1428571428571428</v>
      </c>
      <c r="V40" s="247">
        <f t="shared" si="6"/>
        <v>2.875</v>
      </c>
      <c r="W40" s="247">
        <f t="shared" si="7"/>
        <v>2.125</v>
      </c>
      <c r="X40" s="247">
        <f t="shared" si="8"/>
        <v>2</v>
      </c>
      <c r="Y40" s="248">
        <f t="shared" si="9"/>
        <v>1</v>
      </c>
    </row>
    <row r="41" spans="2:25" ht="26.25" thickBot="1">
      <c r="B41" s="329" t="s">
        <v>15</v>
      </c>
      <c r="C41" s="316">
        <f>AVERAGE(C4:C40)</f>
        <v>2.7783783783783784</v>
      </c>
      <c r="D41" s="317">
        <f t="shared" ref="D41:L41" si="10">AVERAGE(D4:D40)</f>
        <v>2.2184684684684681</v>
      </c>
      <c r="E41" s="317">
        <f t="shared" si="10"/>
        <v>2.1602474323062557</v>
      </c>
      <c r="F41" s="317">
        <f t="shared" si="10"/>
        <v>2.2683333333333331</v>
      </c>
      <c r="G41" s="317">
        <f t="shared" si="10"/>
        <v>1.8278011204481797</v>
      </c>
      <c r="H41" s="317">
        <f t="shared" si="10"/>
        <v>1.8871572871572873</v>
      </c>
      <c r="I41" s="317">
        <f t="shared" si="10"/>
        <v>2.4762870012870013</v>
      </c>
      <c r="J41" s="317">
        <f t="shared" si="10"/>
        <v>2.2653318903318902</v>
      </c>
      <c r="K41" s="317">
        <f t="shared" si="10"/>
        <v>1.3786458333333333</v>
      </c>
      <c r="L41" s="318">
        <f t="shared" si="10"/>
        <v>1.963235294117647</v>
      </c>
      <c r="M41" s="189"/>
      <c r="N41" s="368" t="s">
        <v>15</v>
      </c>
      <c r="O41" s="369"/>
      <c r="P41" s="259">
        <f>AVERAGE(P4:P40)</f>
        <v>2.4072282282282278</v>
      </c>
      <c r="Q41" s="259">
        <f t="shared" ref="P41:Y42" si="11">AVERAGE(Q4:Q40)</f>
        <v>1.9176966966966966</v>
      </c>
      <c r="R41" s="259">
        <f t="shared" si="11"/>
        <v>1.7209210639210639</v>
      </c>
      <c r="S41" s="259">
        <f t="shared" si="11"/>
        <v>1.8774414414414415</v>
      </c>
      <c r="T41" s="259">
        <f t="shared" si="11"/>
        <v>1.4683803088803091</v>
      </c>
      <c r="U41" s="259">
        <f t="shared" si="11"/>
        <v>1.4623925353925356</v>
      </c>
      <c r="V41" s="259">
        <f t="shared" si="11"/>
        <v>2.1610767910767912</v>
      </c>
      <c r="W41" s="259">
        <f t="shared" si="11"/>
        <v>1.7674101244101244</v>
      </c>
      <c r="X41" s="259">
        <f t="shared" si="11"/>
        <v>1.0547387387387388</v>
      </c>
      <c r="Y41" s="330">
        <f t="shared" si="11"/>
        <v>1.5703543543543543</v>
      </c>
    </row>
    <row r="42" spans="2:25" ht="25.5">
      <c r="B42" s="359" t="s">
        <v>155</v>
      </c>
      <c r="C42" s="360"/>
      <c r="D42" s="360"/>
      <c r="E42" s="360"/>
      <c r="F42" s="360"/>
      <c r="G42" s="360"/>
      <c r="H42" s="360"/>
      <c r="I42" s="360"/>
      <c r="J42" s="360"/>
      <c r="K42" s="360"/>
      <c r="L42" s="361"/>
      <c r="M42" s="189"/>
      <c r="N42" s="370" t="s">
        <v>16</v>
      </c>
      <c r="O42" s="371"/>
      <c r="P42" s="256">
        <f t="shared" si="11"/>
        <v>2.3912073695316938</v>
      </c>
      <c r="Q42" s="256">
        <f t="shared" si="11"/>
        <v>1.9154722830939046</v>
      </c>
      <c r="R42" s="256">
        <f t="shared" si="11"/>
        <v>1.7674324440270388</v>
      </c>
      <c r="S42" s="256">
        <f t="shared" si="11"/>
        <v>1.9281831020209401</v>
      </c>
      <c r="T42" s="256">
        <f t="shared" si="11"/>
        <v>1.5080662631743713</v>
      </c>
      <c r="U42" s="256">
        <f t="shared" si="11"/>
        <v>1.5019166579707124</v>
      </c>
      <c r="V42" s="256">
        <f t="shared" si="11"/>
        <v>2.1546194070518401</v>
      </c>
      <c r="W42" s="256">
        <f t="shared" si="11"/>
        <v>1.761123911556344</v>
      </c>
      <c r="X42" s="256">
        <f t="shared" si="11"/>
        <v>1.0562181641100561</v>
      </c>
      <c r="Y42" s="331">
        <v>1.57</v>
      </c>
    </row>
    <row r="43" spans="2:25" ht="25.5">
      <c r="B43" s="362"/>
      <c r="C43" s="363"/>
      <c r="D43" s="363"/>
      <c r="E43" s="363"/>
      <c r="F43" s="363"/>
      <c r="G43" s="363"/>
      <c r="H43" s="363"/>
      <c r="I43" s="363"/>
      <c r="J43" s="363"/>
      <c r="K43" s="363"/>
      <c r="L43" s="364"/>
      <c r="M43" s="189"/>
      <c r="N43" s="370" t="s">
        <v>17</v>
      </c>
      <c r="O43" s="371"/>
      <c r="P43" s="262">
        <f>P41*80%</f>
        <v>1.9257825825825823</v>
      </c>
      <c r="Q43" s="262">
        <f t="shared" ref="Q43:Y43" si="12">Q41*80%</f>
        <v>1.5341573573573575</v>
      </c>
      <c r="R43" s="262">
        <f t="shared" si="12"/>
        <v>1.3767368511368512</v>
      </c>
      <c r="S43" s="262">
        <f t="shared" si="12"/>
        <v>1.5019531531531534</v>
      </c>
      <c r="T43" s="262">
        <f t="shared" si="12"/>
        <v>1.1747042471042473</v>
      </c>
      <c r="U43" s="262">
        <f t="shared" si="12"/>
        <v>1.1699140283140286</v>
      </c>
      <c r="V43" s="262">
        <f t="shared" si="12"/>
        <v>1.7288614328614331</v>
      </c>
      <c r="W43" s="262">
        <f t="shared" si="12"/>
        <v>1.4139280995280996</v>
      </c>
      <c r="X43" s="262">
        <f t="shared" si="12"/>
        <v>0.84379099099099109</v>
      </c>
      <c r="Y43" s="332">
        <f t="shared" si="12"/>
        <v>1.2562834834834835</v>
      </c>
    </row>
    <row r="44" spans="2:25" ht="25.5">
      <c r="B44" s="362"/>
      <c r="C44" s="363"/>
      <c r="D44" s="363"/>
      <c r="E44" s="363"/>
      <c r="F44" s="363"/>
      <c r="G44" s="363"/>
      <c r="H44" s="363"/>
      <c r="I44" s="363"/>
      <c r="J44" s="363"/>
      <c r="K44" s="363"/>
      <c r="L44" s="364"/>
      <c r="M44" s="189"/>
      <c r="N44" s="370"/>
      <c r="O44" s="371"/>
      <c r="P44" s="326"/>
      <c r="Q44" s="254"/>
      <c r="R44" s="254"/>
      <c r="S44" s="254"/>
      <c r="T44" s="254"/>
      <c r="U44" s="254"/>
      <c r="V44" s="254"/>
      <c r="W44" s="254"/>
      <c r="X44" s="254"/>
      <c r="Y44" s="255"/>
    </row>
    <row r="45" spans="2:25" ht="25.5">
      <c r="B45" s="362"/>
      <c r="C45" s="363"/>
      <c r="D45" s="363"/>
      <c r="E45" s="363"/>
      <c r="F45" s="363"/>
      <c r="G45" s="363"/>
      <c r="H45" s="363"/>
      <c r="I45" s="363"/>
      <c r="J45" s="363"/>
      <c r="K45" s="363"/>
      <c r="L45" s="364"/>
      <c r="M45" s="189"/>
      <c r="N45" s="370" t="s">
        <v>18</v>
      </c>
      <c r="O45" s="371"/>
      <c r="P45" s="327">
        <v>2.95</v>
      </c>
      <c r="Q45" s="327">
        <v>3</v>
      </c>
      <c r="R45" s="327">
        <v>3</v>
      </c>
      <c r="S45" s="327">
        <v>3</v>
      </c>
      <c r="T45" s="327">
        <v>3</v>
      </c>
      <c r="U45" s="327">
        <v>3</v>
      </c>
      <c r="V45" s="327">
        <v>2.88</v>
      </c>
      <c r="W45" s="327">
        <v>3</v>
      </c>
      <c r="X45" s="327">
        <v>3</v>
      </c>
      <c r="Y45" s="333">
        <v>3</v>
      </c>
    </row>
    <row r="46" spans="2:25" ht="25.5">
      <c r="B46" s="362"/>
      <c r="C46" s="363"/>
      <c r="D46" s="363"/>
      <c r="E46" s="363"/>
      <c r="F46" s="363"/>
      <c r="G46" s="363"/>
      <c r="H46" s="363"/>
      <c r="I46" s="363"/>
      <c r="J46" s="363"/>
      <c r="K46" s="363"/>
      <c r="L46" s="364"/>
      <c r="M46" s="189"/>
      <c r="N46" s="370"/>
      <c r="O46" s="371"/>
      <c r="P46" s="326"/>
      <c r="Q46" s="254"/>
      <c r="R46" s="254"/>
      <c r="S46" s="254"/>
      <c r="T46" s="254"/>
      <c r="U46" s="254"/>
      <c r="V46" s="254"/>
      <c r="W46" s="254"/>
      <c r="X46" s="254"/>
      <c r="Y46" s="255"/>
    </row>
    <row r="47" spans="2:25" ht="25.5">
      <c r="B47" s="362"/>
      <c r="C47" s="363"/>
      <c r="D47" s="363"/>
      <c r="E47" s="363"/>
      <c r="F47" s="363"/>
      <c r="G47" s="363"/>
      <c r="H47" s="363"/>
      <c r="I47" s="363"/>
      <c r="J47" s="363"/>
      <c r="K47" s="363"/>
      <c r="L47" s="364"/>
      <c r="M47" s="189"/>
      <c r="N47" s="370" t="s">
        <v>19</v>
      </c>
      <c r="O47" s="371"/>
      <c r="P47" s="313">
        <f>P45*20%</f>
        <v>0.59000000000000008</v>
      </c>
      <c r="Q47" s="313">
        <f t="shared" ref="Q47:Y47" si="13">Q45*20%</f>
        <v>0.60000000000000009</v>
      </c>
      <c r="R47" s="313">
        <f t="shared" si="13"/>
        <v>0.60000000000000009</v>
      </c>
      <c r="S47" s="313">
        <f t="shared" si="13"/>
        <v>0.60000000000000009</v>
      </c>
      <c r="T47" s="313">
        <f t="shared" si="13"/>
        <v>0.60000000000000009</v>
      </c>
      <c r="U47" s="313">
        <f t="shared" si="13"/>
        <v>0.60000000000000009</v>
      </c>
      <c r="V47" s="313">
        <f t="shared" si="13"/>
        <v>0.57599999999999996</v>
      </c>
      <c r="W47" s="313">
        <f t="shared" si="13"/>
        <v>0.60000000000000009</v>
      </c>
      <c r="X47" s="313">
        <f t="shared" si="13"/>
        <v>0.60000000000000009</v>
      </c>
      <c r="Y47" s="334">
        <f t="shared" si="13"/>
        <v>0.60000000000000009</v>
      </c>
    </row>
    <row r="48" spans="2:25" ht="25.5">
      <c r="B48" s="362"/>
      <c r="C48" s="363"/>
      <c r="D48" s="363"/>
      <c r="E48" s="363"/>
      <c r="F48" s="363"/>
      <c r="G48" s="363"/>
      <c r="H48" s="363"/>
      <c r="I48" s="363"/>
      <c r="J48" s="363"/>
      <c r="K48" s="363"/>
      <c r="L48" s="364"/>
      <c r="M48" s="189"/>
      <c r="N48" s="370"/>
      <c r="O48" s="371"/>
      <c r="P48" s="326"/>
      <c r="Q48" s="254"/>
      <c r="R48" s="254"/>
      <c r="S48" s="254"/>
      <c r="T48" s="254"/>
      <c r="U48" s="254"/>
      <c r="V48" s="254"/>
      <c r="W48" s="254"/>
      <c r="X48" s="254"/>
      <c r="Y48" s="255"/>
    </row>
    <row r="49" spans="2:25" ht="26.25" thickBot="1">
      <c r="B49" s="365"/>
      <c r="C49" s="366"/>
      <c r="D49" s="366"/>
      <c r="E49" s="366"/>
      <c r="F49" s="366"/>
      <c r="G49" s="366"/>
      <c r="H49" s="366"/>
      <c r="I49" s="366"/>
      <c r="J49" s="366"/>
      <c r="K49" s="366"/>
      <c r="L49" s="367"/>
      <c r="M49" s="190"/>
      <c r="N49" s="372" t="s">
        <v>20</v>
      </c>
      <c r="O49" s="373"/>
      <c r="P49" s="335">
        <f>SUM(P43+P47)</f>
        <v>2.5157825825825824</v>
      </c>
      <c r="Q49" s="335">
        <f t="shared" ref="Q49:Y49" si="14">SUM(Q43+Q47)</f>
        <v>2.1341573573573576</v>
      </c>
      <c r="R49" s="335">
        <f t="shared" si="14"/>
        <v>1.9767368511368513</v>
      </c>
      <c r="S49" s="335">
        <f t="shared" si="14"/>
        <v>2.1019531531531532</v>
      </c>
      <c r="T49" s="335">
        <f t="shared" si="14"/>
        <v>1.7747042471042473</v>
      </c>
      <c r="U49" s="335">
        <f t="shared" si="14"/>
        <v>1.7699140283140287</v>
      </c>
      <c r="V49" s="335">
        <f t="shared" si="14"/>
        <v>2.3048614328614332</v>
      </c>
      <c r="W49" s="335">
        <f t="shared" si="14"/>
        <v>2.0139280995280995</v>
      </c>
      <c r="X49" s="335">
        <f t="shared" si="14"/>
        <v>1.4437909909909912</v>
      </c>
      <c r="Y49" s="336">
        <f t="shared" si="14"/>
        <v>1.8562834834834836</v>
      </c>
    </row>
  </sheetData>
  <mergeCells count="13">
    <mergeCell ref="B1:L2"/>
    <mergeCell ref="N1:Y1"/>
    <mergeCell ref="N2:Y2"/>
    <mergeCell ref="N41:O41"/>
    <mergeCell ref="N47:O47"/>
    <mergeCell ref="N48:O48"/>
    <mergeCell ref="N49:O49"/>
    <mergeCell ref="B42:L49"/>
    <mergeCell ref="N42:O42"/>
    <mergeCell ref="N43:O43"/>
    <mergeCell ref="N44:O44"/>
    <mergeCell ref="N45:O45"/>
    <mergeCell ref="N46:O46"/>
  </mergeCells>
  <printOptions horizontalCentered="1" verticalCentered="1"/>
  <pageMargins left="0.70866141732283472" right="0.70866141732283472" top="0.47" bottom="0.74803149606299213" header="0.31496062992125984" footer="0.31496062992125984"/>
  <pageSetup paperSize="9" scale="45" orientation="landscape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1"/>
  <sheetViews>
    <sheetView topLeftCell="A37" workbookViewId="0">
      <selection activeCell="M3" sqref="M3"/>
    </sheetView>
  </sheetViews>
  <sheetFormatPr defaultRowHeight="15"/>
  <cols>
    <col min="2" max="2" width="21.5703125" customWidth="1"/>
    <col min="3" max="5" width="9.140625" style="16"/>
    <col min="6" max="9" width="9.140625" style="15"/>
    <col min="13" max="13" width="9.140625" style="12"/>
  </cols>
  <sheetData>
    <row r="1" spans="2:13" s="11" customFormat="1" ht="15.75" thickBot="1">
      <c r="C1" s="13"/>
      <c r="D1" s="13"/>
      <c r="E1" s="13"/>
      <c r="F1" s="14"/>
      <c r="G1" s="14"/>
      <c r="H1" s="14"/>
      <c r="I1" s="14"/>
      <c r="M1" s="12"/>
    </row>
    <row r="2" spans="2:13" s="11" customFormat="1" ht="15.75" thickBot="1">
      <c r="B2" s="107"/>
      <c r="C2" s="173" t="s">
        <v>60</v>
      </c>
      <c r="D2" s="174" t="s">
        <v>61</v>
      </c>
      <c r="E2" s="175" t="s">
        <v>62</v>
      </c>
      <c r="F2" s="176"/>
      <c r="G2" s="177" t="s">
        <v>64</v>
      </c>
      <c r="H2" s="178" t="s">
        <v>65</v>
      </c>
      <c r="I2" s="179" t="s">
        <v>66</v>
      </c>
      <c r="J2" s="176"/>
      <c r="K2" s="177" t="s">
        <v>67</v>
      </c>
      <c r="L2" s="178" t="s">
        <v>69</v>
      </c>
      <c r="M2" s="183" t="s">
        <v>68</v>
      </c>
    </row>
    <row r="3" spans="2:13" ht="19.5" customHeight="1">
      <c r="B3" s="108" t="s">
        <v>11</v>
      </c>
      <c r="C3" s="96">
        <v>45.19</v>
      </c>
      <c r="D3" s="19">
        <v>44.84</v>
      </c>
      <c r="E3" s="114">
        <v>43.55</v>
      </c>
      <c r="F3" s="97"/>
      <c r="G3" s="97"/>
      <c r="H3" s="97"/>
      <c r="I3" s="97"/>
      <c r="J3" s="97"/>
      <c r="K3" s="180">
        <f>AVERAGE(C3:E3)</f>
        <v>44.526666666666664</v>
      </c>
      <c r="L3" s="181">
        <f>(3*K3)/100</f>
        <v>1.3357999999999999</v>
      </c>
      <c r="M3" s="182">
        <v>1.45</v>
      </c>
    </row>
    <row r="4" spans="2:13" ht="19.5" customHeight="1">
      <c r="B4" s="108" t="s">
        <v>12</v>
      </c>
      <c r="C4" s="99">
        <v>42.9</v>
      </c>
      <c r="D4" s="17">
        <v>41.17</v>
      </c>
      <c r="E4" s="115">
        <v>37.119999999999997</v>
      </c>
      <c r="F4" s="97"/>
      <c r="G4" s="97"/>
      <c r="H4" s="97"/>
      <c r="I4" s="97"/>
      <c r="J4" s="97"/>
      <c r="K4" s="122">
        <f t="shared" ref="K4:K5" si="0">AVERAGE(C4:E4)</f>
        <v>40.396666666666668</v>
      </c>
      <c r="L4" s="20">
        <f t="shared" ref="L4:L5" si="1">(3*K4)/100</f>
        <v>1.2119</v>
      </c>
      <c r="M4" s="98">
        <v>1.45</v>
      </c>
    </row>
    <row r="5" spans="2:13" ht="19.5" customHeight="1" thickBot="1">
      <c r="B5" s="108" t="s">
        <v>13</v>
      </c>
      <c r="C5" s="116">
        <v>43.01</v>
      </c>
      <c r="D5" s="117">
        <v>33.94</v>
      </c>
      <c r="E5" s="118">
        <v>31.8</v>
      </c>
      <c r="F5" s="97"/>
      <c r="G5" s="97"/>
      <c r="H5" s="97"/>
      <c r="I5" s="97"/>
      <c r="J5" s="97"/>
      <c r="K5" s="123">
        <f t="shared" si="0"/>
        <v>36.249999999999993</v>
      </c>
      <c r="L5" s="124">
        <f t="shared" si="1"/>
        <v>1.0874999999999997</v>
      </c>
      <c r="M5" s="125">
        <v>1.45</v>
      </c>
    </row>
    <row r="6" spans="2:13" ht="19.5" customHeight="1">
      <c r="B6" s="108" t="s">
        <v>14</v>
      </c>
      <c r="C6" s="100"/>
      <c r="D6" s="101"/>
      <c r="E6" s="101"/>
      <c r="F6" s="97"/>
      <c r="G6" s="97"/>
      <c r="H6" s="97"/>
      <c r="I6" s="97"/>
      <c r="J6" s="97"/>
      <c r="K6" s="97"/>
      <c r="L6" s="97"/>
      <c r="M6" s="102"/>
    </row>
    <row r="7" spans="2:13" ht="19.5" customHeight="1">
      <c r="B7" s="108" t="s">
        <v>21</v>
      </c>
      <c r="C7" s="100"/>
      <c r="D7" s="101"/>
      <c r="E7" s="101"/>
      <c r="F7" s="97"/>
      <c r="G7" s="97"/>
      <c r="H7" s="97"/>
      <c r="I7" s="97"/>
      <c r="J7" s="97"/>
      <c r="K7" s="97"/>
      <c r="L7" s="97"/>
      <c r="M7" s="102"/>
    </row>
    <row r="8" spans="2:13" ht="19.5" customHeight="1" thickBot="1">
      <c r="B8" s="108" t="s">
        <v>22</v>
      </c>
      <c r="C8" s="100"/>
      <c r="D8" s="101"/>
      <c r="E8" s="101"/>
      <c r="F8" s="97"/>
      <c r="G8" s="97"/>
      <c r="H8" s="97"/>
      <c r="I8" s="97"/>
      <c r="J8" s="97"/>
      <c r="K8" s="97"/>
      <c r="L8" s="97"/>
      <c r="M8" s="102"/>
    </row>
    <row r="9" spans="2:13" ht="19.5" customHeight="1">
      <c r="B9" s="109" t="s">
        <v>23</v>
      </c>
      <c r="C9" s="100"/>
      <c r="D9" s="101"/>
      <c r="E9" s="101"/>
      <c r="F9" s="97"/>
      <c r="G9" s="119">
        <v>37.51</v>
      </c>
      <c r="H9" s="120">
        <v>33.49</v>
      </c>
      <c r="I9" s="121">
        <v>38.479999999999997</v>
      </c>
      <c r="J9" s="97"/>
      <c r="K9" s="126">
        <f>AVERAGE(G9:I9)</f>
        <v>36.493333333333332</v>
      </c>
      <c r="L9" s="127">
        <f t="shared" ref="L9:L12" si="2">(3*K9)/100</f>
        <v>1.0948</v>
      </c>
      <c r="M9" s="128">
        <v>1.45</v>
      </c>
    </row>
    <row r="10" spans="2:13" ht="19.5" customHeight="1">
      <c r="B10" s="109" t="s">
        <v>24</v>
      </c>
      <c r="C10" s="100"/>
      <c r="D10" s="101"/>
      <c r="E10" s="101"/>
      <c r="F10" s="97"/>
      <c r="G10" s="99">
        <v>31.33</v>
      </c>
      <c r="H10" s="17">
        <v>33.1</v>
      </c>
      <c r="I10" s="115">
        <v>39.19</v>
      </c>
      <c r="J10" s="97"/>
      <c r="K10" s="122">
        <f t="shared" ref="K10:K12" si="3">AVERAGE(G10:I10)</f>
        <v>34.54</v>
      </c>
      <c r="L10" s="20">
        <f t="shared" si="2"/>
        <v>1.0362</v>
      </c>
      <c r="M10" s="98">
        <v>1.45</v>
      </c>
    </row>
    <row r="11" spans="2:13" ht="19.5" customHeight="1">
      <c r="B11" s="109" t="s">
        <v>25</v>
      </c>
      <c r="C11" s="100"/>
      <c r="D11" s="101"/>
      <c r="E11" s="101"/>
      <c r="F11" s="97"/>
      <c r="G11" s="99">
        <v>32.909999999999997</v>
      </c>
      <c r="H11" s="17">
        <v>30.97</v>
      </c>
      <c r="I11" s="115">
        <v>33.64</v>
      </c>
      <c r="J11" s="97"/>
      <c r="K11" s="122">
        <f t="shared" si="3"/>
        <v>32.506666666666668</v>
      </c>
      <c r="L11" s="20">
        <f t="shared" si="2"/>
        <v>0.97520000000000007</v>
      </c>
      <c r="M11" s="98">
        <v>1.45</v>
      </c>
    </row>
    <row r="12" spans="2:13" ht="19.5" customHeight="1" thickBot="1">
      <c r="B12" s="109" t="s">
        <v>26</v>
      </c>
      <c r="C12" s="100"/>
      <c r="D12" s="101"/>
      <c r="E12" s="101"/>
      <c r="F12" s="97"/>
      <c r="G12" s="116">
        <v>30.23</v>
      </c>
      <c r="H12" s="117">
        <v>29.74</v>
      </c>
      <c r="I12" s="118">
        <v>40.14</v>
      </c>
      <c r="J12" s="97"/>
      <c r="K12" s="123">
        <f t="shared" si="3"/>
        <v>33.369999999999997</v>
      </c>
      <c r="L12" s="124">
        <f t="shared" si="2"/>
        <v>1.0010999999999999</v>
      </c>
      <c r="M12" s="125">
        <v>1.45</v>
      </c>
    </row>
    <row r="13" spans="2:13" ht="19.5" customHeight="1">
      <c r="B13" s="109" t="s">
        <v>27</v>
      </c>
      <c r="C13" s="100"/>
      <c r="D13" s="101"/>
      <c r="E13" s="101"/>
      <c r="F13" s="97"/>
      <c r="G13" s="97"/>
      <c r="H13" s="97"/>
      <c r="I13" s="97"/>
      <c r="J13" s="97"/>
      <c r="K13" s="97"/>
      <c r="L13" s="97"/>
      <c r="M13" s="102"/>
    </row>
    <row r="14" spans="2:13" ht="19.5" customHeight="1">
      <c r="B14" s="109" t="s">
        <v>28</v>
      </c>
      <c r="C14" s="100"/>
      <c r="D14" s="101"/>
      <c r="E14" s="101"/>
      <c r="F14" s="97"/>
      <c r="G14" s="97"/>
      <c r="H14" s="97"/>
      <c r="I14" s="97"/>
      <c r="J14" s="97"/>
      <c r="K14" s="97"/>
      <c r="L14" s="97"/>
      <c r="M14" s="102"/>
    </row>
    <row r="15" spans="2:13" ht="19.5" customHeight="1" thickBot="1">
      <c r="B15" s="110" t="s">
        <v>29</v>
      </c>
      <c r="C15" s="103"/>
      <c r="D15" s="104"/>
      <c r="E15" s="104"/>
      <c r="F15" s="105"/>
      <c r="G15" s="105"/>
      <c r="H15" s="105"/>
      <c r="I15" s="105"/>
      <c r="J15" s="105"/>
      <c r="K15" s="105"/>
      <c r="L15" s="105"/>
      <c r="M15" s="106"/>
    </row>
    <row r="16" spans="2:13" ht="19.5" customHeight="1" thickBot="1">
      <c r="B16" s="111"/>
      <c r="C16" s="167" t="s">
        <v>63</v>
      </c>
      <c r="D16" s="168" t="s">
        <v>60</v>
      </c>
      <c r="E16" s="169" t="s">
        <v>61</v>
      </c>
      <c r="F16" s="85"/>
      <c r="G16" s="167" t="s">
        <v>70</v>
      </c>
      <c r="H16" s="168" t="s">
        <v>64</v>
      </c>
      <c r="I16" s="169" t="s">
        <v>65</v>
      </c>
      <c r="J16" s="85"/>
      <c r="K16" s="85"/>
      <c r="L16" s="85"/>
      <c r="M16" s="86"/>
    </row>
    <row r="17" spans="2:13" ht="19.5" customHeight="1">
      <c r="B17" s="109" t="s">
        <v>30</v>
      </c>
      <c r="C17" s="170">
        <v>46.49</v>
      </c>
      <c r="D17" s="171">
        <v>38.64</v>
      </c>
      <c r="E17" s="172">
        <v>45.88</v>
      </c>
      <c r="F17" s="88"/>
      <c r="G17" s="88"/>
      <c r="H17" s="88"/>
      <c r="I17" s="88"/>
      <c r="J17" s="88"/>
      <c r="K17" s="137">
        <f>AVERAGE(C17:E17)</f>
        <v>43.669999999999995</v>
      </c>
      <c r="L17" s="138">
        <f t="shared" ref="L17:L25" si="4">(3*K17)/100</f>
        <v>1.3100999999999998</v>
      </c>
      <c r="M17" s="139">
        <v>1.45</v>
      </c>
    </row>
    <row r="18" spans="2:13" ht="19.5" customHeight="1">
      <c r="B18" s="109" t="s">
        <v>31</v>
      </c>
      <c r="C18" s="87">
        <v>50.89</v>
      </c>
      <c r="D18" s="18">
        <v>44.37</v>
      </c>
      <c r="E18" s="129">
        <v>45.87</v>
      </c>
      <c r="F18" s="88"/>
      <c r="G18" s="88"/>
      <c r="H18" s="88"/>
      <c r="I18" s="88"/>
      <c r="J18" s="88"/>
      <c r="K18" s="140">
        <f t="shared" ref="K18:K21" si="5">AVERAGE(C18:E18)</f>
        <v>47.043333333333329</v>
      </c>
      <c r="L18" s="21">
        <f t="shared" si="4"/>
        <v>1.4113</v>
      </c>
      <c r="M18" s="89">
        <v>1.45</v>
      </c>
    </row>
    <row r="19" spans="2:13" ht="19.5" customHeight="1">
      <c r="B19" s="109" t="s">
        <v>32</v>
      </c>
      <c r="C19" s="87">
        <v>39.97</v>
      </c>
      <c r="D19" s="18">
        <v>36.11</v>
      </c>
      <c r="E19" s="130"/>
      <c r="F19" s="88"/>
      <c r="G19" s="88"/>
      <c r="H19" s="88"/>
      <c r="I19" s="88"/>
      <c r="J19" s="88"/>
      <c r="K19" s="140">
        <f t="shared" si="5"/>
        <v>38.04</v>
      </c>
      <c r="L19" s="21">
        <f t="shared" si="4"/>
        <v>1.1412</v>
      </c>
      <c r="M19" s="89">
        <v>1.45</v>
      </c>
    </row>
    <row r="20" spans="2:13" ht="19.5" customHeight="1">
      <c r="B20" s="109" t="s">
        <v>33</v>
      </c>
      <c r="C20" s="87">
        <v>43.69</v>
      </c>
      <c r="D20" s="18">
        <v>40.67</v>
      </c>
      <c r="E20" s="129">
        <v>41.77</v>
      </c>
      <c r="F20" s="88"/>
      <c r="G20" s="88"/>
      <c r="H20" s="88"/>
      <c r="I20" s="88"/>
      <c r="J20" s="88"/>
      <c r="K20" s="140">
        <f t="shared" si="5"/>
        <v>42.043333333333329</v>
      </c>
      <c r="L20" s="21">
        <f t="shared" si="4"/>
        <v>1.2612999999999999</v>
      </c>
      <c r="M20" s="89">
        <v>1.45</v>
      </c>
    </row>
    <row r="21" spans="2:13" ht="19.5" customHeight="1" thickBot="1">
      <c r="B21" s="109" t="s">
        <v>34</v>
      </c>
      <c r="C21" s="131">
        <v>36.21</v>
      </c>
      <c r="D21" s="132">
        <v>36.19</v>
      </c>
      <c r="E21" s="133">
        <v>37.31</v>
      </c>
      <c r="F21" s="88"/>
      <c r="G21" s="88"/>
      <c r="H21" s="88"/>
      <c r="I21" s="88"/>
      <c r="J21" s="88"/>
      <c r="K21" s="140">
        <f t="shared" si="5"/>
        <v>36.57</v>
      </c>
      <c r="L21" s="21">
        <f t="shared" si="4"/>
        <v>1.0971000000000002</v>
      </c>
      <c r="M21" s="89">
        <v>1.45</v>
      </c>
    </row>
    <row r="22" spans="2:13" ht="19.5" customHeight="1">
      <c r="B22" s="109" t="s">
        <v>35</v>
      </c>
      <c r="C22" s="90"/>
      <c r="D22" s="91"/>
      <c r="E22" s="91"/>
      <c r="F22" s="88"/>
      <c r="G22" s="134">
        <v>71.69</v>
      </c>
      <c r="H22" s="135">
        <v>46.63</v>
      </c>
      <c r="I22" s="136">
        <v>25.89</v>
      </c>
      <c r="J22" s="88"/>
      <c r="K22" s="140">
        <f>AVERAGE(G22:I22)</f>
        <v>48.069999999999993</v>
      </c>
      <c r="L22" s="21">
        <f t="shared" si="4"/>
        <v>1.4420999999999997</v>
      </c>
      <c r="M22" s="89">
        <v>1.45</v>
      </c>
    </row>
    <row r="23" spans="2:13" ht="19.5" customHeight="1">
      <c r="B23" s="109" t="s">
        <v>36</v>
      </c>
      <c r="C23" s="90"/>
      <c r="D23" s="91"/>
      <c r="E23" s="91"/>
      <c r="F23" s="88"/>
      <c r="G23" s="87">
        <v>71.69</v>
      </c>
      <c r="H23" s="18">
        <v>40.97</v>
      </c>
      <c r="I23" s="129">
        <v>25.08</v>
      </c>
      <c r="J23" s="88"/>
      <c r="K23" s="140">
        <f t="shared" ref="K23:K25" si="6">AVERAGE(G23:I23)</f>
        <v>45.913333333333334</v>
      </c>
      <c r="L23" s="21">
        <f t="shared" si="4"/>
        <v>1.3774000000000002</v>
      </c>
      <c r="M23" s="89">
        <v>1.45</v>
      </c>
    </row>
    <row r="24" spans="2:13" ht="19.5" customHeight="1">
      <c r="B24" s="109" t="s">
        <v>37</v>
      </c>
      <c r="C24" s="90"/>
      <c r="D24" s="91"/>
      <c r="E24" s="91"/>
      <c r="F24" s="88"/>
      <c r="G24" s="87">
        <v>42.57</v>
      </c>
      <c r="H24" s="18">
        <v>48.21</v>
      </c>
      <c r="I24" s="129">
        <v>46.21</v>
      </c>
      <c r="J24" s="88"/>
      <c r="K24" s="140">
        <f t="shared" si="6"/>
        <v>45.663333333333334</v>
      </c>
      <c r="L24" s="21">
        <f t="shared" si="4"/>
        <v>1.3699000000000001</v>
      </c>
      <c r="M24" s="89">
        <v>1.45</v>
      </c>
    </row>
    <row r="25" spans="2:13" ht="19.5" customHeight="1" thickBot="1">
      <c r="B25" s="109" t="s">
        <v>38</v>
      </c>
      <c r="C25" s="90"/>
      <c r="D25" s="91"/>
      <c r="E25" s="91"/>
      <c r="F25" s="88"/>
      <c r="G25" s="131">
        <v>42.84</v>
      </c>
      <c r="H25" s="132">
        <v>46.07</v>
      </c>
      <c r="I25" s="133">
        <v>41.63</v>
      </c>
      <c r="J25" s="88"/>
      <c r="K25" s="141">
        <f t="shared" si="6"/>
        <v>43.513333333333328</v>
      </c>
      <c r="L25" s="142">
        <f t="shared" si="4"/>
        <v>1.3053999999999999</v>
      </c>
      <c r="M25" s="143">
        <v>1.45</v>
      </c>
    </row>
    <row r="26" spans="2:13" ht="19.5" customHeight="1" thickBot="1">
      <c r="B26" s="110" t="s">
        <v>39</v>
      </c>
      <c r="C26" s="92"/>
      <c r="D26" s="93"/>
      <c r="E26" s="93"/>
      <c r="F26" s="94"/>
      <c r="G26" s="94"/>
      <c r="H26" s="94"/>
      <c r="I26" s="94"/>
      <c r="J26" s="94"/>
      <c r="K26" s="94"/>
      <c r="L26" s="94"/>
      <c r="M26" s="95"/>
    </row>
    <row r="27" spans="2:13" ht="19.5" customHeight="1" thickBot="1">
      <c r="B27" s="112"/>
      <c r="C27" s="144" t="s">
        <v>58</v>
      </c>
      <c r="D27" s="144" t="s">
        <v>63</v>
      </c>
      <c r="E27" s="148" t="s">
        <v>60</v>
      </c>
      <c r="F27" s="74"/>
      <c r="G27" s="164" t="s">
        <v>59</v>
      </c>
      <c r="H27" s="165" t="s">
        <v>70</v>
      </c>
      <c r="I27" s="166" t="s">
        <v>64</v>
      </c>
      <c r="J27" s="74"/>
      <c r="K27" s="74"/>
      <c r="L27" s="74"/>
      <c r="M27" s="75"/>
    </row>
    <row r="28" spans="2:13" ht="19.5" customHeight="1">
      <c r="B28" s="113" t="s">
        <v>40</v>
      </c>
      <c r="C28" s="145">
        <v>85.19</v>
      </c>
      <c r="D28" s="145">
        <v>56.87</v>
      </c>
      <c r="E28" s="149">
        <v>50.04</v>
      </c>
      <c r="F28" s="76"/>
      <c r="G28" s="76"/>
      <c r="H28" s="76"/>
      <c r="I28" s="76"/>
      <c r="J28" s="76"/>
      <c r="K28" s="152">
        <f>AVERAGE(C28:E28)</f>
        <v>64.033333333333331</v>
      </c>
      <c r="L28" s="153">
        <f t="shared" ref="L28:L32" si="7">(3*K28)/100</f>
        <v>1.921</v>
      </c>
      <c r="M28" s="154">
        <v>1.9</v>
      </c>
    </row>
    <row r="29" spans="2:13" ht="19.5" customHeight="1">
      <c r="B29" s="109" t="s">
        <v>41</v>
      </c>
      <c r="C29" s="145">
        <v>75.290000000000006</v>
      </c>
      <c r="D29" s="145">
        <v>62.87</v>
      </c>
      <c r="E29" s="149">
        <v>54.71</v>
      </c>
      <c r="F29" s="76"/>
      <c r="G29" s="76"/>
      <c r="H29" s="76"/>
      <c r="I29" s="76"/>
      <c r="J29" s="76"/>
      <c r="K29" s="155">
        <f t="shared" ref="K29:K32" si="8">AVERAGE(C29:E29)</f>
        <v>64.290000000000006</v>
      </c>
      <c r="L29" s="22">
        <f t="shared" si="7"/>
        <v>1.9287000000000001</v>
      </c>
      <c r="M29" s="77">
        <v>1.9</v>
      </c>
    </row>
    <row r="30" spans="2:13" ht="19.5" customHeight="1" thickBot="1">
      <c r="B30" s="109" t="s">
        <v>42</v>
      </c>
      <c r="C30" s="146">
        <v>72.61</v>
      </c>
      <c r="D30" s="146">
        <v>57.51</v>
      </c>
      <c r="E30" s="150">
        <v>54.62</v>
      </c>
      <c r="F30" s="76"/>
      <c r="G30" s="76"/>
      <c r="H30" s="76"/>
      <c r="I30" s="76"/>
      <c r="J30" s="76"/>
      <c r="K30" s="155">
        <f t="shared" si="8"/>
        <v>61.580000000000005</v>
      </c>
      <c r="L30" s="22">
        <f t="shared" si="7"/>
        <v>1.8474000000000002</v>
      </c>
      <c r="M30" s="77">
        <v>1.85</v>
      </c>
    </row>
    <row r="31" spans="2:13" ht="19.5" customHeight="1" thickBot="1">
      <c r="B31" s="109" t="s">
        <v>43</v>
      </c>
      <c r="C31" s="147">
        <v>69.900000000000006</v>
      </c>
      <c r="D31" s="151">
        <v>64.53</v>
      </c>
      <c r="E31" s="78"/>
      <c r="F31" s="76"/>
      <c r="G31" s="76"/>
      <c r="H31" s="76"/>
      <c r="I31" s="76"/>
      <c r="J31" s="76"/>
      <c r="K31" s="155">
        <f t="shared" si="8"/>
        <v>67.215000000000003</v>
      </c>
      <c r="L31" s="22">
        <f t="shared" si="7"/>
        <v>2.0164500000000003</v>
      </c>
      <c r="M31" s="77">
        <v>2</v>
      </c>
    </row>
    <row r="32" spans="2:13" ht="19.5" customHeight="1" thickBot="1">
      <c r="B32" s="109" t="s">
        <v>44</v>
      </c>
      <c r="C32" s="146">
        <v>80.31</v>
      </c>
      <c r="D32" s="78"/>
      <c r="E32" s="78"/>
      <c r="F32" s="76"/>
      <c r="G32" s="76"/>
      <c r="H32" s="76"/>
      <c r="I32" s="76"/>
      <c r="J32" s="76"/>
      <c r="K32" s="156">
        <f t="shared" si="8"/>
        <v>80.31</v>
      </c>
      <c r="L32" s="157">
        <f t="shared" si="7"/>
        <v>2.4093</v>
      </c>
      <c r="M32" s="158">
        <v>2.4</v>
      </c>
    </row>
    <row r="33" spans="2:13" ht="19.5" customHeight="1">
      <c r="B33" s="109" t="s">
        <v>45</v>
      </c>
      <c r="C33" s="79"/>
      <c r="D33" s="78"/>
      <c r="E33" s="78"/>
      <c r="F33" s="76"/>
      <c r="G33" s="76"/>
      <c r="H33" s="76"/>
      <c r="I33" s="76"/>
      <c r="J33" s="76"/>
      <c r="K33" s="76"/>
      <c r="L33" s="76"/>
      <c r="M33" s="80"/>
    </row>
    <row r="34" spans="2:13" ht="19.5" customHeight="1" thickBot="1">
      <c r="B34" s="109" t="s">
        <v>46</v>
      </c>
      <c r="C34" s="79"/>
      <c r="D34" s="78"/>
      <c r="E34" s="78"/>
      <c r="F34" s="76"/>
      <c r="G34" s="76"/>
      <c r="H34" s="76"/>
      <c r="I34" s="76"/>
      <c r="J34" s="76"/>
      <c r="K34" s="76"/>
      <c r="L34" s="76"/>
      <c r="M34" s="80"/>
    </row>
    <row r="35" spans="2:13" ht="19.5" customHeight="1" thickBot="1">
      <c r="B35" s="109" t="s">
        <v>47</v>
      </c>
      <c r="C35" s="79"/>
      <c r="D35" s="78"/>
      <c r="E35" s="78"/>
      <c r="F35" s="76"/>
      <c r="G35" s="159">
        <v>67.06</v>
      </c>
      <c r="H35" s="160">
        <v>88.16</v>
      </c>
      <c r="I35" s="161">
        <v>55.44</v>
      </c>
      <c r="J35" s="76"/>
      <c r="K35" s="152">
        <f>AVERAGE(G35:I35)</f>
        <v>70.22</v>
      </c>
      <c r="L35" s="153">
        <f t="shared" ref="L35:L39" si="9">(3*K35)/100</f>
        <v>2.1065999999999998</v>
      </c>
      <c r="M35" s="154">
        <v>2.1</v>
      </c>
    </row>
    <row r="36" spans="2:13" ht="19.5" customHeight="1" thickBot="1">
      <c r="B36" s="109" t="s">
        <v>48</v>
      </c>
      <c r="C36" s="79"/>
      <c r="D36" s="78"/>
      <c r="E36" s="78"/>
      <c r="F36" s="76"/>
      <c r="G36" s="76"/>
      <c r="H36" s="76"/>
      <c r="I36" s="76"/>
      <c r="J36" s="76"/>
      <c r="K36" s="155"/>
      <c r="L36" s="22"/>
      <c r="M36" s="77"/>
    </row>
    <row r="37" spans="2:13" ht="19.5" customHeight="1">
      <c r="B37" s="109" t="s">
        <v>49</v>
      </c>
      <c r="C37" s="79"/>
      <c r="D37" s="78"/>
      <c r="E37" s="78"/>
      <c r="F37" s="76"/>
      <c r="G37" s="163">
        <v>79.84</v>
      </c>
      <c r="H37" s="162">
        <v>93.49</v>
      </c>
      <c r="I37" s="76"/>
      <c r="J37" s="76"/>
      <c r="K37" s="155">
        <f t="shared" ref="K37:K39" si="10">AVERAGE(G37:I37)</f>
        <v>86.664999999999992</v>
      </c>
      <c r="L37" s="22">
        <f t="shared" si="9"/>
        <v>2.5999500000000002</v>
      </c>
      <c r="M37" s="77">
        <v>2.6</v>
      </c>
    </row>
    <row r="38" spans="2:13" ht="19.5" customHeight="1" thickBot="1">
      <c r="B38" s="109" t="s">
        <v>50</v>
      </c>
      <c r="C38" s="79"/>
      <c r="D38" s="78"/>
      <c r="E38" s="78"/>
      <c r="F38" s="76"/>
      <c r="G38" s="146">
        <v>69.2</v>
      </c>
      <c r="H38" s="150">
        <v>92.37</v>
      </c>
      <c r="I38" s="76"/>
      <c r="J38" s="76"/>
      <c r="K38" s="155">
        <f t="shared" si="10"/>
        <v>80.784999999999997</v>
      </c>
      <c r="L38" s="22">
        <f t="shared" si="9"/>
        <v>2.4235500000000001</v>
      </c>
      <c r="M38" s="77">
        <v>2.42</v>
      </c>
    </row>
    <row r="39" spans="2:13" ht="19.5" customHeight="1" thickBot="1">
      <c r="B39" s="109" t="s">
        <v>51</v>
      </c>
      <c r="C39" s="79"/>
      <c r="D39" s="78"/>
      <c r="E39" s="78"/>
      <c r="F39" s="76"/>
      <c r="G39" s="151">
        <v>89.03</v>
      </c>
      <c r="H39" s="76"/>
      <c r="I39" s="76"/>
      <c r="J39" s="76"/>
      <c r="K39" s="156">
        <f t="shared" si="10"/>
        <v>89.03</v>
      </c>
      <c r="L39" s="157">
        <f t="shared" si="9"/>
        <v>2.6709000000000005</v>
      </c>
      <c r="M39" s="158">
        <v>2.67</v>
      </c>
    </row>
    <row r="40" spans="2:13" ht="19.5" customHeight="1">
      <c r="B40" s="109" t="s">
        <v>52</v>
      </c>
      <c r="C40" s="79"/>
      <c r="D40" s="78"/>
      <c r="E40" s="78"/>
      <c r="F40" s="76"/>
      <c r="G40" s="76"/>
      <c r="H40" s="76"/>
      <c r="I40" s="76"/>
      <c r="J40" s="76"/>
      <c r="K40" s="76"/>
      <c r="L40" s="76"/>
      <c r="M40" s="80"/>
    </row>
    <row r="41" spans="2:13" ht="19.5" customHeight="1" thickBot="1">
      <c r="B41" s="110" t="s">
        <v>53</v>
      </c>
      <c r="C41" s="81"/>
      <c r="D41" s="82"/>
      <c r="E41" s="82"/>
      <c r="F41" s="83"/>
      <c r="G41" s="83"/>
      <c r="H41" s="83"/>
      <c r="I41" s="83"/>
      <c r="J41" s="83"/>
      <c r="K41" s="83"/>
      <c r="L41" s="83"/>
      <c r="M41" s="8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>
      <selection activeCell="L19" sqref="L19"/>
    </sheetView>
  </sheetViews>
  <sheetFormatPr defaultRowHeight="15.75"/>
  <cols>
    <col min="2" max="2" width="24.42578125" customWidth="1"/>
    <col min="3" max="3" width="9.140625" style="23"/>
    <col min="4" max="4" width="9.140625" style="49"/>
    <col min="5" max="5" width="9.140625" style="24"/>
    <col min="6" max="10" width="9.140625" style="23"/>
  </cols>
  <sheetData>
    <row r="1" spans="1:16">
      <c r="A1" s="25"/>
      <c r="B1" s="26"/>
      <c r="C1" s="389" t="s">
        <v>55</v>
      </c>
      <c r="D1" s="390"/>
      <c r="E1" s="29"/>
      <c r="F1" s="389" t="s">
        <v>56</v>
      </c>
      <c r="G1" s="390"/>
      <c r="H1" s="29"/>
      <c r="I1" s="389" t="s">
        <v>57</v>
      </c>
      <c r="J1" s="390"/>
      <c r="K1" s="69"/>
      <c r="L1" s="389" t="s">
        <v>149</v>
      </c>
      <c r="M1" s="390"/>
      <c r="N1" s="69"/>
      <c r="O1" s="389" t="s">
        <v>150</v>
      </c>
      <c r="P1" s="390"/>
    </row>
    <row r="2" spans="1:16" ht="16.5" thickBot="1">
      <c r="A2" s="27"/>
      <c r="B2" s="28"/>
      <c r="C2" s="38" t="s">
        <v>71</v>
      </c>
      <c r="D2" s="48" t="s">
        <v>72</v>
      </c>
      <c r="E2" s="30"/>
      <c r="F2" s="38" t="s">
        <v>71</v>
      </c>
      <c r="G2" s="39" t="s">
        <v>72</v>
      </c>
      <c r="H2" s="35"/>
      <c r="I2" s="38" t="s">
        <v>71</v>
      </c>
      <c r="J2" s="39" t="s">
        <v>72</v>
      </c>
      <c r="K2" s="69"/>
      <c r="L2" s="38" t="s">
        <v>71</v>
      </c>
      <c r="M2" s="39" t="s">
        <v>72</v>
      </c>
      <c r="N2" s="69"/>
      <c r="O2" s="38" t="s">
        <v>71</v>
      </c>
      <c r="P2" s="39" t="s">
        <v>72</v>
      </c>
    </row>
    <row r="3" spans="1:16" ht="19.5" customHeight="1">
      <c r="A3" s="391">
        <v>0.01</v>
      </c>
      <c r="B3" s="40" t="s">
        <v>11</v>
      </c>
      <c r="C3" s="2">
        <v>3</v>
      </c>
      <c r="D3" s="60">
        <v>1.45</v>
      </c>
      <c r="E3" s="31"/>
      <c r="F3" s="2">
        <v>2.4</v>
      </c>
      <c r="G3" s="55">
        <v>3</v>
      </c>
      <c r="H3" s="33" t="s">
        <v>148</v>
      </c>
      <c r="I3" s="2">
        <v>2.5099999999999998</v>
      </c>
      <c r="J3" s="54">
        <v>3</v>
      </c>
      <c r="K3" s="70" t="s">
        <v>148</v>
      </c>
      <c r="L3" s="2">
        <v>3</v>
      </c>
      <c r="M3" s="54">
        <v>3</v>
      </c>
      <c r="N3" s="70"/>
      <c r="O3" s="2"/>
      <c r="P3" s="54">
        <v>3</v>
      </c>
    </row>
    <row r="4" spans="1:16" ht="19.5" customHeight="1">
      <c r="A4" s="392"/>
      <c r="B4" s="41" t="s">
        <v>12</v>
      </c>
      <c r="C4" s="3">
        <v>1.55</v>
      </c>
      <c r="D4" s="61">
        <v>1.45</v>
      </c>
      <c r="E4" s="31"/>
      <c r="F4" s="3">
        <v>2.5299999999999998</v>
      </c>
      <c r="G4" s="55">
        <f t="shared" ref="G4:G13" si="0">(C4)+(C4*0.01)</f>
        <v>1.5655000000000001</v>
      </c>
      <c r="H4" s="36"/>
      <c r="I4" s="3">
        <v>2.5499999999999998</v>
      </c>
      <c r="J4" s="54">
        <f t="shared" ref="J4" si="1">(F4)+(F4*0.01)</f>
        <v>2.5552999999999999</v>
      </c>
      <c r="K4" s="70" t="s">
        <v>148</v>
      </c>
      <c r="L4" s="3">
        <v>2.66</v>
      </c>
      <c r="M4" s="54">
        <v>2.56</v>
      </c>
      <c r="N4" s="70"/>
      <c r="O4" s="3"/>
      <c r="P4" s="54">
        <f>M4+M4*0.01</f>
        <v>2.5855999999999999</v>
      </c>
    </row>
    <row r="5" spans="1:16" ht="19.5" customHeight="1">
      <c r="A5" s="392"/>
      <c r="B5" s="41" t="s">
        <v>13</v>
      </c>
      <c r="C5" s="3">
        <v>1.55</v>
      </c>
      <c r="D5" s="61">
        <v>1.45</v>
      </c>
      <c r="E5" s="31"/>
      <c r="F5" s="3">
        <v>1.67</v>
      </c>
      <c r="G5" s="55">
        <f t="shared" si="0"/>
        <v>1.5655000000000001</v>
      </c>
      <c r="H5" s="36"/>
      <c r="I5" s="3">
        <v>2.25</v>
      </c>
      <c r="J5" s="54" t="b">
        <f>P4=(F5)+(F5*0.01)</f>
        <v>0</v>
      </c>
      <c r="K5" s="69"/>
      <c r="L5" s="3">
        <v>1.65</v>
      </c>
      <c r="M5" s="54">
        <f>I5+I5*0.01</f>
        <v>2.2725</v>
      </c>
      <c r="N5" s="186" t="s">
        <v>148</v>
      </c>
      <c r="O5" s="3"/>
      <c r="P5" s="54">
        <f>M5+M5*0.01</f>
        <v>2.2952249999999998</v>
      </c>
    </row>
    <row r="6" spans="1:16" ht="19.5" customHeight="1">
      <c r="A6" s="392"/>
      <c r="B6" s="41" t="s">
        <v>14</v>
      </c>
      <c r="C6" s="3">
        <v>3</v>
      </c>
      <c r="D6" s="62">
        <v>1.45</v>
      </c>
      <c r="E6" s="31"/>
      <c r="F6" s="3">
        <v>3</v>
      </c>
      <c r="G6" s="55">
        <v>3</v>
      </c>
      <c r="H6" s="36"/>
      <c r="I6" s="3">
        <v>3</v>
      </c>
      <c r="J6" s="54">
        <v>3</v>
      </c>
      <c r="K6" s="69"/>
      <c r="L6" s="3">
        <v>3</v>
      </c>
      <c r="M6" s="54">
        <v>3</v>
      </c>
      <c r="N6" s="69"/>
      <c r="O6" s="3"/>
      <c r="P6" s="54">
        <v>3</v>
      </c>
    </row>
    <row r="7" spans="1:16" ht="19.5" customHeight="1">
      <c r="A7" s="392"/>
      <c r="B7" s="41" t="s">
        <v>54</v>
      </c>
      <c r="C7" s="3">
        <v>2.25</v>
      </c>
      <c r="D7" s="62">
        <v>1.45</v>
      </c>
      <c r="E7" s="31"/>
      <c r="F7" s="3">
        <v>3</v>
      </c>
      <c r="G7" s="55">
        <f t="shared" si="0"/>
        <v>2.2725</v>
      </c>
      <c r="H7" s="36"/>
      <c r="I7" s="3">
        <v>2.58</v>
      </c>
      <c r="J7" s="54">
        <v>3</v>
      </c>
      <c r="K7" s="70" t="s">
        <v>148</v>
      </c>
      <c r="L7" s="3">
        <v>1.75</v>
      </c>
      <c r="M7" s="54">
        <v>3</v>
      </c>
      <c r="N7" s="186" t="s">
        <v>148</v>
      </c>
      <c r="O7" s="3"/>
      <c r="P7" s="54">
        <v>3</v>
      </c>
    </row>
    <row r="8" spans="1:16" ht="19.5" customHeight="1">
      <c r="A8" s="392"/>
      <c r="B8" s="41" t="s">
        <v>22</v>
      </c>
      <c r="C8" s="3">
        <v>3</v>
      </c>
      <c r="D8" s="62">
        <v>1.45</v>
      </c>
      <c r="E8" s="31"/>
      <c r="F8" s="3">
        <v>3</v>
      </c>
      <c r="G8" s="55">
        <v>3</v>
      </c>
      <c r="H8" s="36"/>
      <c r="I8" s="3">
        <v>2.88</v>
      </c>
      <c r="J8" s="54">
        <v>3</v>
      </c>
      <c r="K8" s="70" t="s">
        <v>148</v>
      </c>
      <c r="L8" s="3">
        <v>3</v>
      </c>
      <c r="M8" s="54">
        <v>3</v>
      </c>
      <c r="N8" s="70"/>
      <c r="O8" s="3"/>
      <c r="P8" s="54">
        <v>3</v>
      </c>
    </row>
    <row r="9" spans="1:16" ht="19.5" customHeight="1">
      <c r="A9" s="392"/>
      <c r="B9" s="42" t="s">
        <v>23</v>
      </c>
      <c r="C9" s="3">
        <v>2.72</v>
      </c>
      <c r="D9" s="61">
        <v>1.45</v>
      </c>
      <c r="E9" s="31"/>
      <c r="F9" s="3">
        <v>2.54</v>
      </c>
      <c r="G9" s="55">
        <f t="shared" si="0"/>
        <v>2.7472000000000003</v>
      </c>
      <c r="H9" s="33" t="s">
        <v>148</v>
      </c>
      <c r="I9" s="3">
        <v>2.27</v>
      </c>
      <c r="J9" s="54">
        <v>2.75</v>
      </c>
      <c r="K9" s="70" t="s">
        <v>148</v>
      </c>
      <c r="L9" s="3">
        <v>2.4</v>
      </c>
      <c r="M9" s="54">
        <v>2.75</v>
      </c>
      <c r="N9" s="186" t="s">
        <v>148</v>
      </c>
      <c r="O9" s="3"/>
      <c r="P9" s="54">
        <v>2.75</v>
      </c>
    </row>
    <row r="10" spans="1:16" ht="19.5" customHeight="1">
      <c r="A10" s="392"/>
      <c r="B10" s="42" t="s">
        <v>24</v>
      </c>
      <c r="C10" s="3">
        <v>2.5499999999999998</v>
      </c>
      <c r="D10" s="61">
        <v>1.45</v>
      </c>
      <c r="E10" s="31"/>
      <c r="F10" s="3">
        <v>1.87</v>
      </c>
      <c r="G10" s="55">
        <f t="shared" si="0"/>
        <v>2.5754999999999999</v>
      </c>
      <c r="H10" s="33" t="s">
        <v>148</v>
      </c>
      <c r="I10" s="3">
        <v>1.82</v>
      </c>
      <c r="J10" s="54">
        <v>2.58</v>
      </c>
      <c r="K10" s="70" t="s">
        <v>148</v>
      </c>
      <c r="L10" s="3">
        <v>1.95</v>
      </c>
      <c r="M10" s="54">
        <v>2.58</v>
      </c>
      <c r="N10" s="186" t="s">
        <v>148</v>
      </c>
      <c r="O10" s="3"/>
      <c r="P10" s="54">
        <v>2.58</v>
      </c>
    </row>
    <row r="11" spans="1:16" ht="19.5" customHeight="1">
      <c r="A11" s="392"/>
      <c r="B11" s="42" t="s">
        <v>25</v>
      </c>
      <c r="C11" s="3">
        <v>2.88</v>
      </c>
      <c r="D11" s="61">
        <v>1.45</v>
      </c>
      <c r="E11" s="31"/>
      <c r="F11" s="3">
        <v>2.71</v>
      </c>
      <c r="G11" s="55">
        <f t="shared" si="0"/>
        <v>2.9087999999999998</v>
      </c>
      <c r="H11" s="33" t="s">
        <v>148</v>
      </c>
      <c r="I11" s="3">
        <v>1.53</v>
      </c>
      <c r="J11" s="54">
        <v>2.91</v>
      </c>
      <c r="K11" s="70" t="s">
        <v>148</v>
      </c>
      <c r="L11" s="3">
        <v>2.5499999999999998</v>
      </c>
      <c r="M11" s="54">
        <v>2.91</v>
      </c>
      <c r="N11" s="186" t="s">
        <v>148</v>
      </c>
      <c r="O11" s="3"/>
      <c r="P11" s="54">
        <v>2.91</v>
      </c>
    </row>
    <row r="12" spans="1:16" ht="19.5" customHeight="1">
      <c r="A12" s="392"/>
      <c r="B12" s="42" t="s">
        <v>26</v>
      </c>
      <c r="C12" s="3">
        <v>2.78</v>
      </c>
      <c r="D12" s="61">
        <v>1.45</v>
      </c>
      <c r="E12" s="31"/>
      <c r="F12" s="3">
        <v>1.95</v>
      </c>
      <c r="G12" s="55">
        <f t="shared" si="0"/>
        <v>2.8077999999999999</v>
      </c>
      <c r="H12" s="33" t="s">
        <v>148</v>
      </c>
      <c r="I12" s="3">
        <v>1.7</v>
      </c>
      <c r="J12" s="54">
        <v>2.81</v>
      </c>
      <c r="K12" s="70" t="s">
        <v>148</v>
      </c>
      <c r="L12" s="3">
        <v>2.69</v>
      </c>
      <c r="M12" s="54">
        <v>2.81</v>
      </c>
      <c r="N12" s="186" t="s">
        <v>148</v>
      </c>
      <c r="O12" s="3"/>
      <c r="P12" s="54">
        <v>2.81</v>
      </c>
    </row>
    <row r="13" spans="1:16" ht="19.5" customHeight="1">
      <c r="A13" s="392"/>
      <c r="B13" s="42" t="s">
        <v>27</v>
      </c>
      <c r="C13" s="3">
        <v>2.5</v>
      </c>
      <c r="D13" s="62">
        <v>1.45</v>
      </c>
      <c r="E13" s="31"/>
      <c r="F13" s="3">
        <v>3</v>
      </c>
      <c r="G13" s="55">
        <f t="shared" si="0"/>
        <v>2.5249999999999999</v>
      </c>
      <c r="H13" s="33"/>
      <c r="I13" s="3">
        <v>2.75</v>
      </c>
      <c r="J13" s="54">
        <v>3</v>
      </c>
      <c r="K13" s="70" t="s">
        <v>148</v>
      </c>
      <c r="L13" s="3">
        <v>3</v>
      </c>
      <c r="M13" s="54">
        <v>3</v>
      </c>
      <c r="N13" s="70"/>
      <c r="O13" s="3"/>
      <c r="P13" s="54">
        <v>3</v>
      </c>
    </row>
    <row r="14" spans="1:16" ht="19.5" customHeight="1">
      <c r="A14" s="392"/>
      <c r="B14" s="42" t="s">
        <v>28</v>
      </c>
      <c r="C14" s="3">
        <v>3</v>
      </c>
      <c r="D14" s="62">
        <v>1.45</v>
      </c>
      <c r="E14" s="31"/>
      <c r="F14" s="3">
        <v>3</v>
      </c>
      <c r="G14" s="55">
        <v>3</v>
      </c>
      <c r="H14" s="36"/>
      <c r="I14" s="3">
        <v>3</v>
      </c>
      <c r="J14" s="54">
        <v>3</v>
      </c>
      <c r="K14" s="70"/>
      <c r="L14" s="3">
        <v>3</v>
      </c>
      <c r="M14" s="54">
        <v>3</v>
      </c>
      <c r="N14" s="70"/>
      <c r="O14" s="3"/>
      <c r="P14" s="54">
        <v>3</v>
      </c>
    </row>
    <row r="15" spans="1:16" ht="19.5" customHeight="1">
      <c r="A15" s="393"/>
      <c r="B15" s="42" t="s">
        <v>29</v>
      </c>
      <c r="C15" s="50">
        <v>3</v>
      </c>
      <c r="D15" s="62">
        <v>1.45</v>
      </c>
      <c r="E15" s="31"/>
      <c r="F15" s="52">
        <v>3</v>
      </c>
      <c r="G15" s="55">
        <v>3</v>
      </c>
      <c r="H15" s="36"/>
      <c r="I15" s="50">
        <v>2.92</v>
      </c>
      <c r="J15" s="54">
        <v>3</v>
      </c>
      <c r="K15" s="70" t="s">
        <v>148</v>
      </c>
      <c r="L15" s="50">
        <v>3</v>
      </c>
      <c r="M15" s="54">
        <v>3</v>
      </c>
      <c r="N15" s="70"/>
      <c r="O15" s="50"/>
      <c r="P15" s="54">
        <v>3</v>
      </c>
    </row>
    <row r="16" spans="1:16" ht="19.5" customHeight="1">
      <c r="A16" s="386">
        <v>0.02</v>
      </c>
      <c r="B16" s="42" t="s">
        <v>30</v>
      </c>
      <c r="C16" s="6">
        <v>2.25</v>
      </c>
      <c r="D16" s="63">
        <v>1.45</v>
      </c>
      <c r="E16" s="31"/>
      <c r="F16" s="9">
        <v>1.95</v>
      </c>
      <c r="G16" s="58">
        <f>(C16)+(C16*0.02)</f>
        <v>2.2949999999999999</v>
      </c>
      <c r="H16" s="33" t="s">
        <v>148</v>
      </c>
      <c r="I16" s="50">
        <v>2.79</v>
      </c>
      <c r="J16" s="59">
        <v>2.2999999999999998</v>
      </c>
      <c r="K16" s="69"/>
      <c r="L16" s="50">
        <v>2.46</v>
      </c>
      <c r="M16" s="59">
        <f>I16+I16*0.02</f>
        <v>2.8458000000000001</v>
      </c>
      <c r="N16" s="186" t="s">
        <v>148</v>
      </c>
      <c r="O16" s="50"/>
      <c r="P16" s="59">
        <f>L16+L16*0.02</f>
        <v>2.5091999999999999</v>
      </c>
    </row>
    <row r="17" spans="1:16" ht="19.5" customHeight="1">
      <c r="A17" s="387"/>
      <c r="B17" s="42" t="s">
        <v>31</v>
      </c>
      <c r="C17" s="6">
        <v>2.5099999999999998</v>
      </c>
      <c r="D17" s="63">
        <v>1.45</v>
      </c>
      <c r="E17" s="31"/>
      <c r="F17" s="9">
        <v>3</v>
      </c>
      <c r="G17" s="58">
        <f t="shared" ref="G17:G24" si="2">(C17)+(C17*0.02)</f>
        <v>2.5601999999999996</v>
      </c>
      <c r="H17" s="33"/>
      <c r="I17" s="50">
        <v>2.4300000000000002</v>
      </c>
      <c r="J17" s="59">
        <v>3</v>
      </c>
      <c r="K17" s="70" t="s">
        <v>148</v>
      </c>
      <c r="L17" s="50">
        <v>2.85</v>
      </c>
      <c r="M17" s="59">
        <v>3</v>
      </c>
      <c r="N17" s="186" t="s">
        <v>148</v>
      </c>
      <c r="O17" s="50"/>
      <c r="P17" s="59">
        <v>3</v>
      </c>
    </row>
    <row r="18" spans="1:16" ht="19.5" customHeight="1">
      <c r="A18" s="387"/>
      <c r="B18" s="42" t="s">
        <v>32</v>
      </c>
      <c r="C18" s="6">
        <v>2.75</v>
      </c>
      <c r="D18" s="63">
        <v>1.45</v>
      </c>
      <c r="E18" s="31"/>
      <c r="F18" s="52">
        <v>2.95</v>
      </c>
      <c r="G18" s="58">
        <f t="shared" si="2"/>
        <v>2.8050000000000002</v>
      </c>
      <c r="H18" s="36"/>
      <c r="I18" s="50">
        <v>1.8</v>
      </c>
      <c r="J18" s="59">
        <v>3</v>
      </c>
      <c r="K18" s="70" t="s">
        <v>148</v>
      </c>
      <c r="L18" s="50">
        <v>2.95</v>
      </c>
      <c r="M18" s="59">
        <v>3</v>
      </c>
      <c r="N18" s="186" t="s">
        <v>148</v>
      </c>
      <c r="O18" s="50"/>
      <c r="P18" s="59">
        <v>3</v>
      </c>
    </row>
    <row r="19" spans="1:16" ht="19.5" customHeight="1">
      <c r="A19" s="387"/>
      <c r="B19" s="42" t="s">
        <v>33</v>
      </c>
      <c r="C19" s="6">
        <v>2.78</v>
      </c>
      <c r="D19" s="63">
        <v>1.45</v>
      </c>
      <c r="E19" s="31"/>
      <c r="F19" s="9">
        <v>2.85</v>
      </c>
      <c r="G19" s="58">
        <f t="shared" si="2"/>
        <v>2.8355999999999999</v>
      </c>
      <c r="H19" s="33"/>
      <c r="I19" s="50">
        <v>2.61</v>
      </c>
      <c r="J19" s="59">
        <f t="shared" ref="J19:J22" si="3">(F19)+(F19*0.02)</f>
        <v>2.907</v>
      </c>
      <c r="K19" s="70" t="s">
        <v>148</v>
      </c>
      <c r="L19" s="50">
        <v>3</v>
      </c>
      <c r="M19" s="59">
        <v>2.91</v>
      </c>
      <c r="N19" s="70"/>
      <c r="O19" s="50"/>
      <c r="P19" s="59">
        <f>M19+M19*0.02</f>
        <v>2.9681999999999999</v>
      </c>
    </row>
    <row r="20" spans="1:16" ht="19.5" customHeight="1">
      <c r="A20" s="387"/>
      <c r="B20" s="42" t="s">
        <v>34</v>
      </c>
      <c r="C20" s="6">
        <v>2.48</v>
      </c>
      <c r="D20" s="63">
        <v>1.45</v>
      </c>
      <c r="E20" s="31"/>
      <c r="F20" s="9">
        <v>2.93</v>
      </c>
      <c r="G20" s="58">
        <f t="shared" si="2"/>
        <v>2.5295999999999998</v>
      </c>
      <c r="H20" s="33"/>
      <c r="I20" s="50">
        <v>2.3199999999999998</v>
      </c>
      <c r="J20" s="59">
        <f t="shared" si="3"/>
        <v>2.9886000000000004</v>
      </c>
      <c r="K20" s="70" t="s">
        <v>148</v>
      </c>
      <c r="L20" s="50">
        <v>2.63</v>
      </c>
      <c r="M20" s="59">
        <v>2.99</v>
      </c>
      <c r="N20" s="186" t="s">
        <v>148</v>
      </c>
      <c r="O20" s="50"/>
      <c r="P20" s="59">
        <v>2.99</v>
      </c>
    </row>
    <row r="21" spans="1:16" ht="19.5" customHeight="1">
      <c r="A21" s="387"/>
      <c r="B21" s="185" t="s">
        <v>35</v>
      </c>
      <c r="C21" s="6">
        <v>2.58</v>
      </c>
      <c r="D21" s="63">
        <v>1.45</v>
      </c>
      <c r="E21" s="31"/>
      <c r="F21" s="9">
        <v>2.75</v>
      </c>
      <c r="G21" s="58">
        <f t="shared" si="2"/>
        <v>2.6316000000000002</v>
      </c>
      <c r="H21" s="36"/>
      <c r="I21" s="50">
        <v>2.83</v>
      </c>
      <c r="J21" s="59">
        <f t="shared" si="3"/>
        <v>2.8050000000000002</v>
      </c>
      <c r="K21" s="70"/>
      <c r="L21" s="50">
        <v>3</v>
      </c>
      <c r="M21" s="59">
        <f>I21+I21*0</f>
        <v>2.83</v>
      </c>
      <c r="N21" s="70"/>
      <c r="O21" s="50"/>
      <c r="P21" s="59">
        <f>M21+M21*0.02</f>
        <v>2.8866000000000001</v>
      </c>
    </row>
    <row r="22" spans="1:16" ht="19.5" customHeight="1">
      <c r="A22" s="387"/>
      <c r="B22" s="42" t="s">
        <v>36</v>
      </c>
      <c r="C22" s="6">
        <v>2.85</v>
      </c>
      <c r="D22" s="63">
        <v>1.45</v>
      </c>
      <c r="E22" s="31"/>
      <c r="F22" s="9">
        <v>2.9</v>
      </c>
      <c r="G22" s="58">
        <f t="shared" si="2"/>
        <v>2.907</v>
      </c>
      <c r="H22" s="36"/>
      <c r="I22" s="50">
        <v>3</v>
      </c>
      <c r="J22" s="59">
        <f t="shared" si="3"/>
        <v>2.9579999999999997</v>
      </c>
      <c r="K22" s="69"/>
      <c r="L22" s="50">
        <v>1.71</v>
      </c>
      <c r="M22" s="59">
        <v>3</v>
      </c>
      <c r="N22" s="186" t="s">
        <v>148</v>
      </c>
      <c r="O22" s="50"/>
      <c r="P22" s="59">
        <v>3</v>
      </c>
    </row>
    <row r="23" spans="1:16" ht="19.5" customHeight="1">
      <c r="A23" s="387"/>
      <c r="B23" s="42" t="s">
        <v>37</v>
      </c>
      <c r="C23" s="50">
        <v>2.8</v>
      </c>
      <c r="D23" s="63">
        <v>1.45</v>
      </c>
      <c r="E23" s="31"/>
      <c r="F23" s="52">
        <v>1.7</v>
      </c>
      <c r="G23" s="58">
        <f t="shared" si="2"/>
        <v>2.8559999999999999</v>
      </c>
      <c r="H23" s="33" t="s">
        <v>148</v>
      </c>
      <c r="I23" s="50">
        <v>2.9</v>
      </c>
      <c r="J23" s="59">
        <v>2.86</v>
      </c>
      <c r="K23" s="69"/>
      <c r="L23" s="50">
        <v>1.76</v>
      </c>
      <c r="M23" s="59">
        <f>I23+I23*0.02</f>
        <v>2.9579999999999997</v>
      </c>
      <c r="N23" s="186" t="s">
        <v>148</v>
      </c>
      <c r="O23" s="50"/>
      <c r="P23" s="59">
        <f>L23+L23*0.02</f>
        <v>1.7951999999999999</v>
      </c>
    </row>
    <row r="24" spans="1:16" ht="19.5" customHeight="1">
      <c r="A24" s="387"/>
      <c r="B24" s="42" t="s">
        <v>38</v>
      </c>
      <c r="C24" s="6">
        <v>2.83</v>
      </c>
      <c r="D24" s="63">
        <v>1.45</v>
      </c>
      <c r="E24" s="31"/>
      <c r="F24" s="9">
        <v>1.74</v>
      </c>
      <c r="G24" s="58">
        <f t="shared" si="2"/>
        <v>2.8866000000000001</v>
      </c>
      <c r="H24" s="33" t="s">
        <v>148</v>
      </c>
      <c r="I24" s="50">
        <v>2.6</v>
      </c>
      <c r="J24" s="59">
        <v>2.89</v>
      </c>
      <c r="K24" s="70" t="s">
        <v>148</v>
      </c>
      <c r="L24" s="50">
        <v>2.94</v>
      </c>
      <c r="M24" s="59">
        <v>2.89</v>
      </c>
      <c r="N24" s="70"/>
      <c r="O24" s="50"/>
      <c r="P24" s="59">
        <f>M24+M24*0.02</f>
        <v>2.9478</v>
      </c>
    </row>
    <row r="25" spans="1:16" ht="19.5" customHeight="1">
      <c r="A25" s="387"/>
      <c r="B25" s="42" t="s">
        <v>39</v>
      </c>
      <c r="C25" s="50">
        <v>3</v>
      </c>
      <c r="D25" s="64">
        <v>1.45</v>
      </c>
      <c r="E25" s="31"/>
      <c r="F25" s="52">
        <v>3</v>
      </c>
      <c r="G25" s="58">
        <v>3</v>
      </c>
      <c r="H25" s="36"/>
      <c r="I25" s="50">
        <v>3</v>
      </c>
      <c r="J25" s="59">
        <v>3</v>
      </c>
      <c r="K25" s="69"/>
      <c r="L25" s="50">
        <v>3</v>
      </c>
      <c r="M25" s="59">
        <v>3</v>
      </c>
      <c r="N25" s="69"/>
      <c r="O25" s="50"/>
      <c r="P25" s="59">
        <v>3</v>
      </c>
    </row>
    <row r="26" spans="1:16" ht="19.5" customHeight="1">
      <c r="A26" s="386">
        <v>0.03</v>
      </c>
      <c r="B26" s="42" t="s">
        <v>40</v>
      </c>
      <c r="C26" s="50">
        <v>3</v>
      </c>
      <c r="D26" s="65">
        <v>1.9</v>
      </c>
      <c r="E26" s="32"/>
      <c r="F26" s="9">
        <v>2.25</v>
      </c>
      <c r="G26" s="56">
        <v>3</v>
      </c>
      <c r="H26" s="33" t="s">
        <v>148</v>
      </c>
      <c r="I26" s="50">
        <v>3</v>
      </c>
      <c r="J26" s="57">
        <v>3</v>
      </c>
      <c r="K26" s="69"/>
      <c r="L26" s="50">
        <v>3</v>
      </c>
      <c r="M26" s="57">
        <v>3</v>
      </c>
      <c r="N26" s="69"/>
      <c r="O26" s="50"/>
      <c r="P26" s="57">
        <v>3</v>
      </c>
    </row>
    <row r="27" spans="1:16" ht="19.5" customHeight="1">
      <c r="A27" s="387"/>
      <c r="B27" s="42" t="s">
        <v>41</v>
      </c>
      <c r="C27" s="50">
        <v>3</v>
      </c>
      <c r="D27" s="65">
        <v>1.9</v>
      </c>
      <c r="E27" s="32"/>
      <c r="F27" s="9">
        <v>2.1800000000000002</v>
      </c>
      <c r="G27" s="56">
        <v>3</v>
      </c>
      <c r="H27" s="33" t="s">
        <v>148</v>
      </c>
      <c r="I27" s="50">
        <v>1.9</v>
      </c>
      <c r="J27" s="57">
        <v>3</v>
      </c>
      <c r="K27" s="70" t="s">
        <v>148</v>
      </c>
      <c r="L27" s="50">
        <v>1.8</v>
      </c>
      <c r="M27" s="57">
        <v>3</v>
      </c>
      <c r="N27" s="186" t="s">
        <v>148</v>
      </c>
      <c r="O27" s="50"/>
      <c r="P27" s="57">
        <v>3</v>
      </c>
    </row>
    <row r="28" spans="1:16" ht="19.5" customHeight="1">
      <c r="A28" s="387"/>
      <c r="B28" s="42" t="s">
        <v>42</v>
      </c>
      <c r="C28" s="50">
        <v>3</v>
      </c>
      <c r="D28" s="65">
        <v>1.85</v>
      </c>
      <c r="E28" s="32"/>
      <c r="F28" s="9">
        <v>1.88</v>
      </c>
      <c r="G28" s="56">
        <v>3</v>
      </c>
      <c r="H28" s="33" t="s">
        <v>148</v>
      </c>
      <c r="I28" s="50">
        <v>2.78</v>
      </c>
      <c r="J28" s="57">
        <v>3</v>
      </c>
      <c r="K28" s="70" t="s">
        <v>148</v>
      </c>
      <c r="L28" s="50">
        <v>3</v>
      </c>
      <c r="M28" s="57">
        <v>3</v>
      </c>
      <c r="N28" s="70"/>
      <c r="O28" s="50"/>
      <c r="P28" s="57">
        <v>3</v>
      </c>
    </row>
    <row r="29" spans="1:16" ht="19.5" customHeight="1">
      <c r="A29" s="387"/>
      <c r="B29" s="42" t="s">
        <v>43</v>
      </c>
      <c r="C29" s="50">
        <v>3</v>
      </c>
      <c r="D29" s="65">
        <v>2</v>
      </c>
      <c r="E29" s="32"/>
      <c r="F29" s="9">
        <v>1.84</v>
      </c>
      <c r="G29" s="56">
        <v>3</v>
      </c>
      <c r="H29" s="33" t="s">
        <v>148</v>
      </c>
      <c r="I29" s="50">
        <v>1.91</v>
      </c>
      <c r="J29" s="57">
        <v>3</v>
      </c>
      <c r="K29" s="70" t="s">
        <v>148</v>
      </c>
      <c r="L29" s="50">
        <v>2.1</v>
      </c>
      <c r="M29" s="57">
        <v>3</v>
      </c>
      <c r="N29" s="186" t="s">
        <v>148</v>
      </c>
      <c r="O29" s="50"/>
      <c r="P29" s="57">
        <v>3</v>
      </c>
    </row>
    <row r="30" spans="1:16" ht="19.5" customHeight="1">
      <c r="A30" s="387"/>
      <c r="B30" s="42" t="s">
        <v>44</v>
      </c>
      <c r="C30" s="50">
        <v>3</v>
      </c>
      <c r="D30" s="65">
        <v>2.4</v>
      </c>
      <c r="E30" s="32"/>
      <c r="F30" s="9">
        <v>2.93</v>
      </c>
      <c r="G30" s="56">
        <v>3</v>
      </c>
      <c r="H30" s="33" t="s">
        <v>148</v>
      </c>
      <c r="I30" s="50">
        <v>2.2799999999999998</v>
      </c>
      <c r="J30" s="57">
        <v>3</v>
      </c>
      <c r="K30" s="70" t="s">
        <v>148</v>
      </c>
      <c r="L30" s="50">
        <v>2.52</v>
      </c>
      <c r="M30" s="57">
        <v>3</v>
      </c>
      <c r="N30" s="186" t="s">
        <v>148</v>
      </c>
      <c r="O30" s="50"/>
      <c r="P30" s="57">
        <v>3</v>
      </c>
    </row>
    <row r="31" spans="1:16" ht="19.5" customHeight="1">
      <c r="A31" s="387"/>
      <c r="B31" s="42" t="s">
        <v>45</v>
      </c>
      <c r="C31" s="50">
        <v>3</v>
      </c>
      <c r="D31" s="66">
        <v>1.45</v>
      </c>
      <c r="E31" s="32"/>
      <c r="F31" s="52">
        <v>3</v>
      </c>
      <c r="G31" s="56">
        <v>3</v>
      </c>
      <c r="H31" s="33"/>
      <c r="I31" s="50">
        <v>3</v>
      </c>
      <c r="J31" s="57">
        <v>3</v>
      </c>
      <c r="K31" s="69"/>
      <c r="L31" s="50">
        <v>3</v>
      </c>
      <c r="M31" s="57">
        <v>3</v>
      </c>
      <c r="N31" s="69"/>
      <c r="O31" s="50"/>
      <c r="P31" s="57">
        <v>3</v>
      </c>
    </row>
    <row r="32" spans="1:16" ht="19.5" customHeight="1">
      <c r="A32" s="387"/>
      <c r="B32" s="42" t="s">
        <v>46</v>
      </c>
      <c r="C32" s="50">
        <v>3</v>
      </c>
      <c r="D32" s="66">
        <v>1.45</v>
      </c>
      <c r="E32" s="32"/>
      <c r="F32" s="52">
        <v>3</v>
      </c>
      <c r="G32" s="56">
        <v>3</v>
      </c>
      <c r="H32" s="36"/>
      <c r="I32" s="50">
        <v>3</v>
      </c>
      <c r="J32" s="57">
        <v>3</v>
      </c>
      <c r="K32" s="69"/>
      <c r="L32" s="50">
        <v>3</v>
      </c>
      <c r="M32" s="57">
        <v>3</v>
      </c>
      <c r="N32" s="69"/>
      <c r="O32" s="50"/>
      <c r="P32" s="57">
        <v>3</v>
      </c>
    </row>
    <row r="33" spans="1:16" ht="19.5" customHeight="1">
      <c r="A33" s="387"/>
      <c r="B33" s="42" t="s">
        <v>47</v>
      </c>
      <c r="C33" s="6">
        <v>2.16</v>
      </c>
      <c r="D33" s="65">
        <v>2.1</v>
      </c>
      <c r="E33" s="33"/>
      <c r="F33" s="52">
        <v>1.7</v>
      </c>
      <c r="G33" s="184">
        <f t="shared" ref="G33" si="4">(C33)+(C33*0.02)</f>
        <v>2.2032000000000003</v>
      </c>
      <c r="H33" s="33" t="s">
        <v>148</v>
      </c>
      <c r="I33" s="50">
        <v>2.85</v>
      </c>
      <c r="J33" s="57">
        <v>2.2000000000000002</v>
      </c>
      <c r="K33" s="69"/>
      <c r="L33" s="50">
        <v>3</v>
      </c>
      <c r="M33" s="57">
        <f>I33+I33*0.03</f>
        <v>2.9355000000000002</v>
      </c>
      <c r="N33" s="69"/>
      <c r="O33" s="50"/>
      <c r="P33" s="57">
        <v>3</v>
      </c>
    </row>
    <row r="34" spans="1:16" ht="19.5" customHeight="1">
      <c r="A34" s="387"/>
      <c r="B34" s="42" t="s">
        <v>48</v>
      </c>
      <c r="C34" s="6">
        <v>1.73</v>
      </c>
      <c r="D34" s="65">
        <v>1.45</v>
      </c>
      <c r="E34" s="32"/>
      <c r="F34" s="52">
        <v>2.5099999999999998</v>
      </c>
      <c r="G34" s="56">
        <f t="shared" ref="G34" si="5">(C34)+(C34*0.03)</f>
        <v>1.7819</v>
      </c>
      <c r="H34" s="33"/>
      <c r="I34" s="50">
        <v>2.83</v>
      </c>
      <c r="J34" s="57">
        <f t="shared" ref="J34:J36" si="6">(F34)+(F34*0.03)</f>
        <v>2.5852999999999997</v>
      </c>
      <c r="K34" s="69"/>
      <c r="L34" s="50">
        <v>3</v>
      </c>
      <c r="M34" s="57">
        <f>I34+I34*0.03</f>
        <v>2.9149000000000003</v>
      </c>
      <c r="N34" s="69"/>
      <c r="O34" s="50"/>
      <c r="P34" s="57">
        <f>M34+M34*0.03</f>
        <v>3.0023470000000003</v>
      </c>
    </row>
    <row r="35" spans="1:16" ht="19.5" customHeight="1">
      <c r="A35" s="387"/>
      <c r="B35" s="42" t="s">
        <v>49</v>
      </c>
      <c r="C35" s="6">
        <v>1.61</v>
      </c>
      <c r="D35" s="65">
        <v>2.6</v>
      </c>
      <c r="E35" s="33" t="s">
        <v>148</v>
      </c>
      <c r="F35" s="52">
        <v>2.92</v>
      </c>
      <c r="G35" s="56">
        <v>2.6</v>
      </c>
      <c r="H35" s="36"/>
      <c r="I35" s="50">
        <v>2.85</v>
      </c>
      <c r="J35" s="57">
        <v>3</v>
      </c>
      <c r="K35" s="70" t="s">
        <v>148</v>
      </c>
      <c r="L35" s="50">
        <v>3</v>
      </c>
      <c r="M35" s="57">
        <v>3</v>
      </c>
      <c r="N35" s="70"/>
      <c r="O35" s="50"/>
      <c r="P35" s="57">
        <v>3</v>
      </c>
    </row>
    <row r="36" spans="1:16" ht="19.5" customHeight="1">
      <c r="A36" s="387"/>
      <c r="B36" s="42" t="s">
        <v>50</v>
      </c>
      <c r="C36" s="6">
        <v>1.6</v>
      </c>
      <c r="D36" s="65">
        <v>2.42</v>
      </c>
      <c r="E36" s="33" t="s">
        <v>148</v>
      </c>
      <c r="F36" s="52">
        <v>2.58</v>
      </c>
      <c r="G36" s="56">
        <v>2.42</v>
      </c>
      <c r="H36" s="36"/>
      <c r="I36" s="50">
        <v>2.6</v>
      </c>
      <c r="J36" s="57">
        <f t="shared" si="6"/>
        <v>2.6574</v>
      </c>
      <c r="K36" s="70" t="s">
        <v>148</v>
      </c>
      <c r="L36" s="50">
        <v>2.65</v>
      </c>
      <c r="M36" s="57">
        <v>2.66</v>
      </c>
      <c r="N36" s="186" t="s">
        <v>148</v>
      </c>
      <c r="O36" s="50"/>
      <c r="P36" s="57">
        <v>2.66</v>
      </c>
    </row>
    <row r="37" spans="1:16" ht="19.5" customHeight="1">
      <c r="A37" s="387"/>
      <c r="B37" s="42" t="s">
        <v>51</v>
      </c>
      <c r="C37" s="6">
        <v>1.43</v>
      </c>
      <c r="D37" s="65">
        <v>2.67</v>
      </c>
      <c r="E37" s="33" t="s">
        <v>148</v>
      </c>
      <c r="F37" s="52">
        <v>2.33</v>
      </c>
      <c r="G37" s="56">
        <v>2.67</v>
      </c>
      <c r="H37" s="36" t="s">
        <v>148</v>
      </c>
      <c r="I37" s="50">
        <v>2.7</v>
      </c>
      <c r="J37" s="57">
        <v>2.67</v>
      </c>
      <c r="K37" s="69"/>
      <c r="L37" s="50">
        <v>2.89</v>
      </c>
      <c r="M37" s="57">
        <f>I37+I37*0.03</f>
        <v>2.7810000000000001</v>
      </c>
      <c r="N37" s="69"/>
      <c r="O37" s="50"/>
      <c r="P37" s="57">
        <f>M37+M37*0.03</f>
        <v>2.86443</v>
      </c>
    </row>
    <row r="38" spans="1:16" ht="19.5" customHeight="1">
      <c r="A38" s="387"/>
      <c r="B38" s="42" t="s">
        <v>52</v>
      </c>
      <c r="C38" s="50">
        <v>3</v>
      </c>
      <c r="D38" s="67">
        <v>1.45</v>
      </c>
      <c r="E38" s="33"/>
      <c r="F38" s="52">
        <v>3</v>
      </c>
      <c r="G38" s="56">
        <v>3</v>
      </c>
      <c r="H38" s="36"/>
      <c r="I38" s="50">
        <v>3</v>
      </c>
      <c r="J38" s="57">
        <v>3</v>
      </c>
      <c r="K38" s="69"/>
      <c r="L38" s="50">
        <v>3</v>
      </c>
      <c r="M38" s="57">
        <v>3</v>
      </c>
      <c r="N38" s="69"/>
      <c r="O38" s="50"/>
      <c r="P38" s="57">
        <v>3</v>
      </c>
    </row>
    <row r="39" spans="1:16" ht="19.5" customHeight="1" thickBot="1">
      <c r="A39" s="388"/>
      <c r="B39" s="43" t="s">
        <v>53</v>
      </c>
      <c r="C39" s="51">
        <v>3</v>
      </c>
      <c r="D39" s="68">
        <v>1.45</v>
      </c>
      <c r="E39" s="34"/>
      <c r="F39" s="53">
        <v>3</v>
      </c>
      <c r="G39" s="56">
        <v>3</v>
      </c>
      <c r="H39" s="37"/>
      <c r="I39" s="51">
        <v>3</v>
      </c>
      <c r="J39" s="71">
        <v>3</v>
      </c>
      <c r="K39" s="69"/>
      <c r="L39" s="51">
        <v>3</v>
      </c>
      <c r="M39" s="57">
        <v>3</v>
      </c>
      <c r="N39" s="69"/>
      <c r="O39" s="51"/>
      <c r="P39" s="57">
        <v>3</v>
      </c>
    </row>
    <row r="41" spans="1:16" s="72" customFormat="1">
      <c r="C41" s="73"/>
      <c r="D41" s="49"/>
      <c r="E41" s="24">
        <v>3</v>
      </c>
      <c r="F41" s="73"/>
      <c r="G41" s="73"/>
      <c r="H41" s="73">
        <v>15</v>
      </c>
      <c r="I41" s="73"/>
      <c r="J41" s="73"/>
      <c r="K41" s="72">
        <v>21</v>
      </c>
    </row>
  </sheetData>
  <autoFilter ref="A2:K39"/>
  <mergeCells count="8">
    <mergeCell ref="A26:A39"/>
    <mergeCell ref="C1:D1"/>
    <mergeCell ref="F1:G1"/>
    <mergeCell ref="O1:P1"/>
    <mergeCell ref="L1:M1"/>
    <mergeCell ref="I1:J1"/>
    <mergeCell ref="A3:A15"/>
    <mergeCell ref="A16:A25"/>
  </mergeCells>
  <printOptions horizontalCentered="1" verticalCentered="1"/>
  <pageMargins left="0.31496062992125984" right="0.70866141732283472" top="0.15748031496062992" bottom="0.19685039370078741" header="0.31496062992125984" footer="0.31496062992125984"/>
  <pageSetup paperSize="9" scale="75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H38"/>
  <sheetViews>
    <sheetView topLeftCell="A22" workbookViewId="0">
      <selection activeCell="H21" sqref="H21:H38"/>
    </sheetView>
  </sheetViews>
  <sheetFormatPr defaultRowHeight="15"/>
  <sheetData>
    <row r="1" spans="6:8" ht="15.75" thickBot="1"/>
    <row r="2" spans="6:8" ht="47.25">
      <c r="F2" s="44" t="s">
        <v>73</v>
      </c>
      <c r="G2" t="s">
        <v>74</v>
      </c>
      <c r="H2" t="s">
        <v>75</v>
      </c>
    </row>
    <row r="3" spans="6:8" ht="47.25">
      <c r="F3" s="45" t="s">
        <v>12</v>
      </c>
      <c r="G3" t="s">
        <v>76</v>
      </c>
      <c r="H3" t="s">
        <v>77</v>
      </c>
    </row>
    <row r="4" spans="6:8" ht="47.25">
      <c r="F4" s="45" t="s">
        <v>13</v>
      </c>
      <c r="G4" t="s">
        <v>78</v>
      </c>
      <c r="H4" t="s">
        <v>79</v>
      </c>
    </row>
    <row r="5" spans="6:8" ht="47.25">
      <c r="F5" s="45" t="s">
        <v>14</v>
      </c>
      <c r="G5" t="s">
        <v>80</v>
      </c>
      <c r="H5" t="s">
        <v>81</v>
      </c>
    </row>
    <row r="6" spans="6:8" ht="47.25">
      <c r="F6" s="45" t="s">
        <v>21</v>
      </c>
      <c r="G6" t="s">
        <v>82</v>
      </c>
      <c r="H6" t="s">
        <v>83</v>
      </c>
    </row>
    <row r="7" spans="6:8" ht="47.25">
      <c r="F7" s="45" t="s">
        <v>22</v>
      </c>
      <c r="G7" t="s">
        <v>84</v>
      </c>
      <c r="H7" t="s">
        <v>85</v>
      </c>
    </row>
    <row r="8" spans="6:8" ht="47.25">
      <c r="F8" s="46" t="s">
        <v>23</v>
      </c>
      <c r="G8" t="s">
        <v>86</v>
      </c>
      <c r="H8" t="s">
        <v>87</v>
      </c>
    </row>
    <row r="9" spans="6:8" ht="47.25">
      <c r="F9" s="46" t="s">
        <v>24</v>
      </c>
      <c r="G9" t="s">
        <v>88</v>
      </c>
      <c r="H9" t="s">
        <v>89</v>
      </c>
    </row>
    <row r="10" spans="6:8" ht="47.25">
      <c r="F10" s="46" t="s">
        <v>25</v>
      </c>
      <c r="G10" t="s">
        <v>90</v>
      </c>
      <c r="H10" t="s">
        <v>91</v>
      </c>
    </row>
    <row r="11" spans="6:8" ht="47.25">
      <c r="F11" s="46" t="s">
        <v>26</v>
      </c>
      <c r="G11" t="s">
        <v>92</v>
      </c>
      <c r="H11" t="s">
        <v>93</v>
      </c>
    </row>
    <row r="12" spans="6:8" ht="47.25">
      <c r="F12" s="46" t="s">
        <v>27</v>
      </c>
      <c r="G12" t="s">
        <v>94</v>
      </c>
      <c r="H12" t="s">
        <v>95</v>
      </c>
    </row>
    <row r="13" spans="6:8" ht="47.25">
      <c r="F13" s="46" t="s">
        <v>28</v>
      </c>
      <c r="G13" t="s">
        <v>96</v>
      </c>
      <c r="H13" t="s">
        <v>97</v>
      </c>
    </row>
    <row r="14" spans="6:8" ht="47.25">
      <c r="F14" s="46" t="s">
        <v>29</v>
      </c>
      <c r="G14" t="s">
        <v>98</v>
      </c>
      <c r="H14" t="s">
        <v>99</v>
      </c>
    </row>
    <row r="15" spans="6:8" ht="47.25">
      <c r="F15" s="46" t="s">
        <v>30</v>
      </c>
      <c r="G15" t="s">
        <v>100</v>
      </c>
      <c r="H15" t="s">
        <v>101</v>
      </c>
    </row>
    <row r="16" spans="6:8" ht="47.25">
      <c r="F16" s="46" t="s">
        <v>31</v>
      </c>
      <c r="G16" t="s">
        <v>102</v>
      </c>
      <c r="H16" t="s">
        <v>103</v>
      </c>
    </row>
    <row r="17" spans="6:8" ht="47.25">
      <c r="F17" s="46" t="s">
        <v>32</v>
      </c>
      <c r="G17" t="s">
        <v>104</v>
      </c>
      <c r="H17" t="s">
        <v>105</v>
      </c>
    </row>
    <row r="18" spans="6:8" ht="47.25">
      <c r="F18" s="46" t="s">
        <v>33</v>
      </c>
      <c r="G18" t="s">
        <v>106</v>
      </c>
      <c r="H18" t="s">
        <v>107</v>
      </c>
    </row>
    <row r="19" spans="6:8" ht="47.25">
      <c r="F19" s="46" t="s">
        <v>34</v>
      </c>
      <c r="G19" t="s">
        <v>108</v>
      </c>
      <c r="H19" t="s">
        <v>109</v>
      </c>
    </row>
    <row r="20" spans="6:8" ht="47.25">
      <c r="F20" s="46" t="s">
        <v>35</v>
      </c>
      <c r="G20" t="s">
        <v>110</v>
      </c>
      <c r="H20" t="s">
        <v>111</v>
      </c>
    </row>
    <row r="21" spans="6:8" ht="47.25">
      <c r="F21" s="46" t="s">
        <v>36</v>
      </c>
      <c r="G21" t="s">
        <v>112</v>
      </c>
      <c r="H21" t="s">
        <v>113</v>
      </c>
    </row>
    <row r="22" spans="6:8" ht="47.25">
      <c r="F22" s="46" t="s">
        <v>37</v>
      </c>
      <c r="G22" t="s">
        <v>114</v>
      </c>
      <c r="H22" t="s">
        <v>115</v>
      </c>
    </row>
    <row r="23" spans="6:8" ht="47.25">
      <c r="F23" s="46" t="s">
        <v>38</v>
      </c>
      <c r="G23" t="s">
        <v>116</v>
      </c>
      <c r="H23" t="s">
        <v>117</v>
      </c>
    </row>
    <row r="24" spans="6:8" ht="47.25">
      <c r="F24" s="46" t="s">
        <v>39</v>
      </c>
      <c r="G24" t="s">
        <v>118</v>
      </c>
      <c r="H24" t="s">
        <v>119</v>
      </c>
    </row>
    <row r="25" spans="6:8" ht="47.25">
      <c r="F25" s="46" t="s">
        <v>40</v>
      </c>
      <c r="G25" t="s">
        <v>120</v>
      </c>
      <c r="H25" t="s">
        <v>121</v>
      </c>
    </row>
    <row r="26" spans="6:8" ht="47.25">
      <c r="F26" s="46" t="s">
        <v>41</v>
      </c>
      <c r="G26" t="s">
        <v>122</v>
      </c>
      <c r="H26" t="s">
        <v>123</v>
      </c>
    </row>
    <row r="27" spans="6:8" ht="47.25">
      <c r="F27" s="46" t="s">
        <v>42</v>
      </c>
      <c r="G27" t="s">
        <v>124</v>
      </c>
      <c r="H27" t="s">
        <v>125</v>
      </c>
    </row>
    <row r="28" spans="6:8" ht="47.25">
      <c r="F28" s="46" t="s">
        <v>43</v>
      </c>
      <c r="G28" t="s">
        <v>126</v>
      </c>
      <c r="H28" t="s">
        <v>127</v>
      </c>
    </row>
    <row r="29" spans="6:8" ht="47.25">
      <c r="F29" s="46" t="s">
        <v>44</v>
      </c>
      <c r="G29" t="s">
        <v>128</v>
      </c>
      <c r="H29" t="s">
        <v>129</v>
      </c>
    </row>
    <row r="30" spans="6:8" ht="47.25">
      <c r="F30" s="46" t="s">
        <v>45</v>
      </c>
      <c r="G30" t="s">
        <v>130</v>
      </c>
      <c r="H30" t="s">
        <v>131</v>
      </c>
    </row>
    <row r="31" spans="6:8" ht="47.25">
      <c r="F31" s="46" t="s">
        <v>46</v>
      </c>
      <c r="G31" t="s">
        <v>132</v>
      </c>
      <c r="H31" t="s">
        <v>133</v>
      </c>
    </row>
    <row r="32" spans="6:8" ht="47.25">
      <c r="F32" s="46" t="s">
        <v>47</v>
      </c>
      <c r="G32" t="s">
        <v>134</v>
      </c>
      <c r="H32" t="s">
        <v>135</v>
      </c>
    </row>
    <row r="33" spans="6:8" ht="47.25">
      <c r="F33" s="46" t="s">
        <v>48</v>
      </c>
      <c r="G33" t="s">
        <v>136</v>
      </c>
      <c r="H33" t="s">
        <v>137</v>
      </c>
    </row>
    <row r="34" spans="6:8" ht="47.25">
      <c r="F34" s="46" t="s">
        <v>49</v>
      </c>
      <c r="G34" t="s">
        <v>138</v>
      </c>
      <c r="H34" t="s">
        <v>139</v>
      </c>
    </row>
    <row r="35" spans="6:8" ht="47.25">
      <c r="F35" s="46" t="s">
        <v>50</v>
      </c>
      <c r="G35" t="s">
        <v>140</v>
      </c>
      <c r="H35" t="s">
        <v>141</v>
      </c>
    </row>
    <row r="36" spans="6:8" ht="47.25">
      <c r="F36" s="46" t="s">
        <v>51</v>
      </c>
      <c r="G36" t="s">
        <v>142</v>
      </c>
      <c r="H36" t="s">
        <v>143</v>
      </c>
    </row>
    <row r="37" spans="6:8" ht="47.25">
      <c r="F37" s="46" t="s">
        <v>52</v>
      </c>
      <c r="G37" t="s">
        <v>144</v>
      </c>
      <c r="H37" t="s">
        <v>145</v>
      </c>
    </row>
    <row r="38" spans="6:8" ht="47.25">
      <c r="F38" s="47" t="s">
        <v>53</v>
      </c>
      <c r="G38" t="s">
        <v>146</v>
      </c>
      <c r="H38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2024-25</vt:lpstr>
      <vt:lpstr>2023-24</vt:lpstr>
      <vt:lpstr>2022-23</vt:lpstr>
      <vt:lpstr>2021-22</vt:lpstr>
      <vt:lpstr>TSI AVG</vt:lpstr>
      <vt:lpstr>Target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2025-08-19T11:02:39Z</dcterms:modified>
</cp:coreProperties>
</file>